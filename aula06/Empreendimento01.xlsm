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es\Documents\excel_avancado\aula06\"/>
    </mc:Choice>
  </mc:AlternateContent>
  <xr:revisionPtr revIDLastSave="0" documentId="13_ncr:1_{95E3BC49-B708-43F8-9541-03BD8721DDE3}" xr6:coauthVersionLast="47" xr6:coauthVersionMax="47" xr10:uidLastSave="{00000000-0000-0000-0000-000000000000}"/>
  <bookViews>
    <workbookView xWindow="-28920" yWindow="5835" windowWidth="29040" windowHeight="15840" xr2:uid="{A19FF470-BC36-43E5-A9C2-5D45BF4CCE08}"/>
  </bookViews>
  <sheets>
    <sheet name="comanda" sheetId="1" r:id="rId1"/>
    <sheet name="cardapio" sheetId="3" r:id="rId2"/>
    <sheet name="relatorio" sheetId="5" r:id="rId3"/>
  </sheets>
  <definedNames>
    <definedName name="_xlnm._FilterDatabase" localSheetId="0" hidden="1">comanda!$A$1:$D$20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  <c r="D7" i="1" s="1"/>
  <c r="C8" i="1"/>
  <c r="D8" i="1" s="1"/>
  <c r="C9" i="1"/>
  <c r="D9" i="1" s="1"/>
  <c r="C10" i="1"/>
  <c r="D10" i="1" s="1"/>
  <c r="C11" i="1"/>
  <c r="D11" i="1" s="1"/>
  <c r="C12" i="1"/>
  <c r="D12" i="1" s="1"/>
  <c r="C13" i="1"/>
  <c r="D13" i="1" s="1"/>
  <c r="C14" i="1"/>
  <c r="D14" i="1" s="1"/>
  <c r="C15" i="1"/>
  <c r="D15" i="1" s="1"/>
  <c r="C16" i="1"/>
  <c r="D16" i="1" s="1"/>
  <c r="C17" i="1"/>
  <c r="D17" i="1" s="1"/>
  <c r="C4" i="1"/>
  <c r="D4" i="1" s="1"/>
  <c r="B18" i="1"/>
  <c r="D18" i="1" l="1"/>
</calcChain>
</file>

<file path=xl/sharedStrings.xml><?xml version="1.0" encoding="utf-8"?>
<sst xmlns="http://schemas.openxmlformats.org/spreadsheetml/2006/main" count="47" uniqueCount="37">
  <si>
    <t>Sistema - Empreendimento Comercial</t>
  </si>
  <si>
    <t>Cardapio</t>
  </si>
  <si>
    <t>Coxinha de Frango</t>
  </si>
  <si>
    <t>Coxinha de Frango m Batata</t>
  </si>
  <si>
    <t>Coxinha de Carne Seca</t>
  </si>
  <si>
    <t>Coxinha de Costela</t>
  </si>
  <si>
    <t>Risole de Frango com Requeijão</t>
  </si>
  <si>
    <t>Risole de Carne</t>
  </si>
  <si>
    <t>Salsicha frita</t>
  </si>
  <si>
    <t>Risole de Presunto e queijo</t>
  </si>
  <si>
    <t>Espeto de Frango</t>
  </si>
  <si>
    <t>Salgado Assado (Diversos)</t>
  </si>
  <si>
    <t>Pastel Simples</t>
  </si>
  <si>
    <t>Pastel Especial</t>
  </si>
  <si>
    <t>Pão de queijo</t>
  </si>
  <si>
    <t>Pão de queijo recheado</t>
  </si>
  <si>
    <t>Sobrenesa simples</t>
  </si>
  <si>
    <t>Sobremesa especial</t>
  </si>
  <si>
    <t>Refrigerante Lata</t>
  </si>
  <si>
    <t>Refrigerante KS</t>
  </si>
  <si>
    <t>Suco natural</t>
  </si>
  <si>
    <t>Produto</t>
  </si>
  <si>
    <t>Preço</t>
  </si>
  <si>
    <t>Suco máquina</t>
  </si>
  <si>
    <t>Quantidade</t>
  </si>
  <si>
    <t>Total</t>
  </si>
  <si>
    <t>Subtotal</t>
  </si>
  <si>
    <t>Valor</t>
  </si>
  <si>
    <t>Tipo</t>
  </si>
  <si>
    <t>Funcionários</t>
  </si>
  <si>
    <t>Arnaldo Antunes</t>
  </si>
  <si>
    <t>Marcelo Silva</t>
  </si>
  <si>
    <t>Mariana Lima</t>
  </si>
  <si>
    <t>Funcionário</t>
  </si>
  <si>
    <t>Quando</t>
  </si>
  <si>
    <t>Registros de Caixa</t>
  </si>
  <si>
    <t>Dinheiro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</si>
</sst>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h:mm;@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0">
    <xf numFmtId="0" fontId="0" fillId="0" borderId="0" xfId="0"/>
    <xf numFmtId="0" fontId="3" fillId="2" borderId="0" xfId="0" applyFont="1" applyFill="1"/>
    <xf numFmtId="0" fontId="4" fillId="2" borderId="0" xfId="0" applyFont="1" applyFill="1"/>
    <xf numFmtId="0" fontId="6" fillId="3" borderId="0" xfId="0" applyFont="1" applyFill="1"/>
    <xf numFmtId="0" fontId="5" fillId="4" borderId="0" xfId="0" applyFont="1" applyFill="1"/>
    <xf numFmtId="0" fontId="6" fillId="4" borderId="0" xfId="0" applyFont="1" applyFill="1"/>
    <xf numFmtId="0" fontId="2" fillId="2" borderId="0" xfId="0" applyFont="1" applyFill="1"/>
    <xf numFmtId="44" fontId="0" fillId="0" borderId="0" xfId="1" applyFont="1"/>
    <xf numFmtId="0" fontId="2" fillId="2" borderId="0" xfId="0" applyFont="1" applyFill="1" applyAlignment="1">
      <alignment horizontal="center"/>
    </xf>
    <xf numFmtId="44" fontId="0" fillId="0" borderId="1" xfId="1" applyFont="1" applyBorder="1"/>
    <xf numFmtId="44" fontId="5" fillId="4" borderId="0" xfId="0" applyNumberFormat="1" applyFont="1" applyFill="1"/>
    <xf numFmtId="44" fontId="0" fillId="0" borderId="0" xfId="0" applyNumberFormat="1"/>
    <xf numFmtId="0" fontId="5" fillId="4" borderId="0" xfId="0" applyFont="1" applyFill="1" applyAlignment="1">
      <alignment horizontal="center"/>
    </xf>
    <xf numFmtId="44" fontId="0" fillId="0" borderId="0" xfId="1" applyFont="1" applyProtection="1">
      <protection locked="0"/>
    </xf>
    <xf numFmtId="164" fontId="0" fillId="0" borderId="0" xfId="0" applyNumberFormat="1"/>
    <xf numFmtId="0" fontId="6" fillId="3" borderId="2" xfId="0" applyFont="1" applyFill="1" applyBorder="1"/>
    <xf numFmtId="0" fontId="0" fillId="0" borderId="2" xfId="0" applyBorder="1"/>
    <xf numFmtId="0" fontId="4" fillId="2" borderId="0" xfId="0" applyFont="1" applyFill="1" applyAlignment="1">
      <alignment horizontal="left"/>
    </xf>
    <xf numFmtId="22" fontId="0" fillId="0" borderId="0" xfId="0" applyNumberFormat="1"/>
    <xf numFmtId="0" fontId="0" fillId="0" borderId="0" xfId="0" applyProtection="1">
      <protection locked="0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125016</xdr:colOff>
      <xdr:row>2</xdr:row>
      <xdr:rowOff>47627</xdr:rowOff>
    </xdr:from>
    <xdr:to>
      <xdr:col>5</xdr:col>
      <xdr:colOff>178594</xdr:colOff>
      <xdr:row>3</xdr:row>
      <xdr:rowOff>113111</xdr:rowOff>
    </xdr:to>
    <xdr:sp macro="[0]!limpar" textlink="">
      <xdr:nvSpPr>
        <xdr:cNvPr id="2" name="Retângulo 1">
          <a:extLst>
            <a:ext uri="{FF2B5EF4-FFF2-40B4-BE49-F238E27FC236}">
              <a16:creationId xmlns:a16="http://schemas.microsoft.com/office/drawing/2014/main" id="{F6A582E9-ADD1-FEEA-4D7E-C325F7CE2E62}"/>
            </a:ext>
          </a:extLst>
        </xdr:cNvPr>
        <xdr:cNvSpPr/>
      </xdr:nvSpPr>
      <xdr:spPr>
        <a:xfrm>
          <a:off x="5268516" y="684611"/>
          <a:ext cx="1262062" cy="255984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Limpar</a:t>
          </a:r>
        </a:p>
      </xdr:txBody>
    </xdr:sp>
    <xdr:clientData/>
  </xdr:twoCellAnchor>
  <xdr:twoCellAnchor>
    <xdr:from>
      <xdr:col>4</xdr:col>
      <xdr:colOff>117231</xdr:colOff>
      <xdr:row>6</xdr:row>
      <xdr:rowOff>14654</xdr:rowOff>
    </xdr:from>
    <xdr:to>
      <xdr:col>5</xdr:col>
      <xdr:colOff>197827</xdr:colOff>
      <xdr:row>7</xdr:row>
      <xdr:rowOff>73269</xdr:rowOff>
    </xdr:to>
    <xdr:sp macro="[0]!RegistrarDinheiro" textlink="">
      <xdr:nvSpPr>
        <xdr:cNvPr id="5" name="Retângulo 4">
          <a:extLst>
            <a:ext uri="{FF2B5EF4-FFF2-40B4-BE49-F238E27FC236}">
              <a16:creationId xmlns:a16="http://schemas.microsoft.com/office/drawing/2014/main" id="{594DB3F7-4CA0-923B-821F-DA5F4DC53292}"/>
            </a:ext>
          </a:extLst>
        </xdr:cNvPr>
        <xdr:cNvSpPr/>
      </xdr:nvSpPr>
      <xdr:spPr>
        <a:xfrm>
          <a:off x="4996962" y="1040423"/>
          <a:ext cx="1289538" cy="249115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Dinheiro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4</xdr:col>
      <xdr:colOff>117230</xdr:colOff>
      <xdr:row>8</xdr:row>
      <xdr:rowOff>14655</xdr:rowOff>
    </xdr:from>
    <xdr:to>
      <xdr:col>5</xdr:col>
      <xdr:colOff>161192</xdr:colOff>
      <xdr:row>9</xdr:row>
      <xdr:rowOff>95251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A22A0F6-D5B9-A125-6945-12CF687462C5}"/>
            </a:ext>
          </a:extLst>
        </xdr:cNvPr>
        <xdr:cNvSpPr/>
      </xdr:nvSpPr>
      <xdr:spPr>
        <a:xfrm>
          <a:off x="4996961" y="1421424"/>
          <a:ext cx="1252904" cy="27109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Cartão</a:t>
          </a:r>
        </a:p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31A0E-78D1-4657-AA45-56F27B71270C}">
  <sheetPr codeName="Planilha1"/>
  <dimension ref="A1:H20"/>
  <sheetViews>
    <sheetView showGridLines="0" tabSelected="1" zoomScale="130" zoomScaleNormal="130" workbookViewId="0">
      <selection sqref="A1:H1"/>
    </sheetView>
  </sheetViews>
  <sheetFormatPr defaultRowHeight="15" x14ac:dyDescent="0.25"/>
  <cols>
    <col min="1" max="1" width="20.7109375" customWidth="1"/>
    <col min="2" max="4" width="17.42578125" customWidth="1"/>
    <col min="5" max="6" width="18.140625" customWidth="1"/>
  </cols>
  <sheetData>
    <row r="1" spans="1:8" s="1" customFormat="1" ht="31.5" x14ac:dyDescent="0.5">
      <c r="A1" s="17" t="s">
        <v>0</v>
      </c>
      <c r="B1" s="17"/>
      <c r="C1" s="17"/>
      <c r="D1" s="17"/>
      <c r="E1" s="17"/>
      <c r="F1" s="17"/>
      <c r="G1" s="17"/>
      <c r="H1" s="17"/>
    </row>
    <row r="2" spans="1:8" s="5" customFormat="1" ht="18.75" x14ac:dyDescent="0.3">
      <c r="A2" s="4" t="s">
        <v>1</v>
      </c>
    </row>
    <row r="3" spans="1:8" s="3" customFormat="1" x14ac:dyDescent="0.25">
      <c r="A3" s="8" t="s">
        <v>21</v>
      </c>
      <c r="B3" s="8" t="s">
        <v>24</v>
      </c>
      <c r="C3" s="8" t="s">
        <v>22</v>
      </c>
      <c r="D3" s="8" t="s">
        <v>26</v>
      </c>
    </row>
    <row r="4" spans="1:8" x14ac:dyDescent="0.25">
      <c r="A4" s="19" t="s">
        <v>7</v>
      </c>
      <c r="B4" s="19"/>
      <c r="C4" s="9">
        <f>IF(A4="",0,VLOOKUP(A4,cardapio!$A$5:$B$24,2,0))</f>
        <v>6</v>
      </c>
      <c r="D4" s="9">
        <f>PRODUCT(B4:C4)</f>
        <v>6</v>
      </c>
    </row>
    <row r="5" spans="1:8" x14ac:dyDescent="0.25">
      <c r="A5" s="19"/>
      <c r="B5" s="19"/>
      <c r="C5" s="9"/>
      <c r="D5" s="9"/>
    </row>
    <row r="6" spans="1:8" x14ac:dyDescent="0.25">
      <c r="A6" s="19"/>
      <c r="B6" s="19"/>
      <c r="C6" s="9"/>
      <c r="D6" s="9"/>
    </row>
    <row r="7" spans="1:8" x14ac:dyDescent="0.25">
      <c r="A7" s="19"/>
      <c r="B7" s="19"/>
      <c r="C7" s="9">
        <f>IF(A7="",0,VLOOKUP(A7,cardapio!$A$5:$B$24,2,0))</f>
        <v>0</v>
      </c>
      <c r="D7" s="9">
        <f t="shared" ref="D7:D17" si="0">PRODUCT(B7:C7)</f>
        <v>0</v>
      </c>
    </row>
    <row r="8" spans="1:8" x14ac:dyDescent="0.25">
      <c r="A8" s="19"/>
      <c r="B8" s="19"/>
      <c r="C8" s="9">
        <f>IF(A8="",0,VLOOKUP(A8,cardapio!$A$5:$B$24,2,0))</f>
        <v>0</v>
      </c>
      <c r="D8" s="9">
        <f t="shared" si="0"/>
        <v>0</v>
      </c>
    </row>
    <row r="9" spans="1:8" x14ac:dyDescent="0.25">
      <c r="A9" s="19"/>
      <c r="B9" s="19"/>
      <c r="C9" s="9">
        <f>IF(A9="",0,VLOOKUP(A9,cardapio!$A$5:$B$24,2,0))</f>
        <v>0</v>
      </c>
      <c r="D9" s="9">
        <f t="shared" si="0"/>
        <v>0</v>
      </c>
    </row>
    <row r="10" spans="1:8" x14ac:dyDescent="0.25">
      <c r="A10" s="19" t="s">
        <v>6</v>
      </c>
      <c r="B10" s="19"/>
      <c r="C10" s="9">
        <f>IF(A10="",0,VLOOKUP(A10,cardapio!$A$5:$B$24,2,0))</f>
        <v>5.5</v>
      </c>
      <c r="D10" s="9">
        <f t="shared" si="0"/>
        <v>5.5</v>
      </c>
    </row>
    <row r="11" spans="1:8" x14ac:dyDescent="0.25">
      <c r="A11" s="19"/>
      <c r="B11" s="19"/>
      <c r="C11" s="9">
        <f>IF(A11="",0,VLOOKUP(A11,cardapio!$A$5:$B$24,2,0))</f>
        <v>0</v>
      </c>
      <c r="D11" s="9">
        <f t="shared" si="0"/>
        <v>0</v>
      </c>
    </row>
    <row r="12" spans="1:8" x14ac:dyDescent="0.25">
      <c r="A12" s="19"/>
      <c r="B12" s="19"/>
      <c r="C12" s="9">
        <f>IF(A12="",0,VLOOKUP(A12,cardapio!$A$5:$B$24,2,0))</f>
        <v>0</v>
      </c>
      <c r="D12" s="9">
        <f t="shared" si="0"/>
        <v>0</v>
      </c>
    </row>
    <row r="13" spans="1:8" x14ac:dyDescent="0.25">
      <c r="A13" s="19"/>
      <c r="B13" s="19"/>
      <c r="C13" s="9">
        <f>IF(A13="",0,VLOOKUP(A13,cardapio!$A$5:$B$24,2,0))</f>
        <v>0</v>
      </c>
      <c r="D13" s="9">
        <f t="shared" si="0"/>
        <v>0</v>
      </c>
    </row>
    <row r="14" spans="1:8" x14ac:dyDescent="0.25">
      <c r="A14" s="19"/>
      <c r="B14" s="19"/>
      <c r="C14" s="9">
        <f>IF(A14="",0,VLOOKUP(A14,cardapio!$A$5:$B$24,2,0))</f>
        <v>0</v>
      </c>
      <c r="D14" s="9">
        <f t="shared" si="0"/>
        <v>0</v>
      </c>
    </row>
    <row r="15" spans="1:8" x14ac:dyDescent="0.25">
      <c r="A15" s="19"/>
      <c r="B15" s="19"/>
      <c r="C15" s="9">
        <f>IF(A15="",0,VLOOKUP(A15,cardapio!$A$5:$B$24,2,0))</f>
        <v>0</v>
      </c>
      <c r="D15" s="9">
        <f t="shared" si="0"/>
        <v>0</v>
      </c>
    </row>
    <row r="16" spans="1:8" x14ac:dyDescent="0.25">
      <c r="A16" s="19"/>
      <c r="B16" s="19"/>
      <c r="C16" s="9">
        <f>IF(A16="",0,VLOOKUP(A16,cardapio!$A$5:$B$24,2,0))</f>
        <v>0</v>
      </c>
      <c r="D16" s="9">
        <f t="shared" si="0"/>
        <v>0</v>
      </c>
    </row>
    <row r="17" spans="1:4" x14ac:dyDescent="0.25">
      <c r="A17" s="19"/>
      <c r="B17" s="19"/>
      <c r="C17" s="9">
        <f>IF(A17="",0,VLOOKUP(A17,cardapio!$A$5:$B$24,2,0))</f>
        <v>0</v>
      </c>
      <c r="D17" s="9">
        <f t="shared" si="0"/>
        <v>0</v>
      </c>
    </row>
    <row r="18" spans="1:4" ht="18.75" x14ac:dyDescent="0.3">
      <c r="A18" s="4" t="s">
        <v>25</v>
      </c>
      <c r="B18" s="12">
        <f>SUM(B4:B17)</f>
        <v>0</v>
      </c>
      <c r="C18" s="4"/>
      <c r="D18" s="10">
        <f>SUM(D4:D17)</f>
        <v>11.5</v>
      </c>
    </row>
    <row r="19" spans="1:4" x14ac:dyDescent="0.25">
      <c r="A19" s="8" t="s">
        <v>33</v>
      </c>
      <c r="D19" s="13"/>
    </row>
    <row r="20" spans="1:4" x14ac:dyDescent="0.25">
      <c r="A20" t="s">
        <v>32</v>
      </c>
      <c r="D20" s="11"/>
    </row>
  </sheetData>
  <mergeCells count="1">
    <mergeCell ref="A1:H1"/>
  </mergeCells>
  <dataValidations count="1">
    <dataValidation type="decimal" allowBlank="1" showInputMessage="1" showErrorMessage="1" sqref="D19" xr:uid="{8ACB0A46-894B-4D3B-AE94-11F65FAB5C06}">
      <formula1>0</formula1>
      <formula2>10000</formula2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7D0C32A-7E33-46BF-95B0-4A86D39891D8}">
          <x14:formula1>
            <xm:f>cardapio!$A$5:$A$24</xm:f>
          </x14:formula1>
          <xm:sqref>A4:A17</xm:sqref>
        </x14:dataValidation>
        <x14:dataValidation type="list" allowBlank="1" showInputMessage="1" showErrorMessage="1" xr:uid="{D860C811-9DC1-4067-A020-8C9DE8500CAB}">
          <x14:formula1>
            <xm:f>cardapio!$D$3:$D$5</xm:f>
          </x14:formula1>
          <xm:sqref>A20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ED226-A077-4293-8B69-7BE054C7688C}">
  <sheetPr codeName="Planilha2"/>
  <dimension ref="A1:I24"/>
  <sheetViews>
    <sheetView showGridLines="0" zoomScale="145" zoomScaleNormal="145" workbookViewId="0">
      <selection activeCell="B5" sqref="B5"/>
    </sheetView>
  </sheetViews>
  <sheetFormatPr defaultRowHeight="15" x14ac:dyDescent="0.25"/>
  <cols>
    <col min="1" max="1" width="29.85546875" bestFit="1" customWidth="1"/>
    <col min="2" max="2" width="9.5703125" bestFit="1" customWidth="1"/>
    <col min="4" max="4" width="16" bestFit="1" customWidth="1"/>
  </cols>
  <sheetData>
    <row r="1" spans="1:9" s="1" customFormat="1" ht="31.5" x14ac:dyDescent="0.5">
      <c r="A1" s="17" t="s">
        <v>0</v>
      </c>
      <c r="B1" s="17"/>
      <c r="C1" s="17"/>
      <c r="D1" s="17"/>
      <c r="E1" s="17"/>
      <c r="F1" s="17"/>
      <c r="G1" s="17"/>
      <c r="H1" s="17"/>
      <c r="I1" s="17"/>
    </row>
    <row r="2" spans="1:9" s="5" customFormat="1" ht="18.75" x14ac:dyDescent="0.3">
      <c r="A2" s="4" t="s">
        <v>1</v>
      </c>
      <c r="D2" s="6" t="s">
        <v>29</v>
      </c>
    </row>
    <row r="3" spans="1:9" s="3" customFormat="1" x14ac:dyDescent="0.25">
      <c r="A3" s="6" t="s">
        <v>21</v>
      </c>
      <c r="B3" s="6" t="s">
        <v>22</v>
      </c>
      <c r="D3" s="15" t="s">
        <v>30</v>
      </c>
    </row>
    <row r="4" spans="1:9" x14ac:dyDescent="0.25">
      <c r="A4">
        <v>0</v>
      </c>
      <c r="B4" s="7">
        <v>0</v>
      </c>
      <c r="D4" s="16" t="s">
        <v>31</v>
      </c>
    </row>
    <row r="5" spans="1:9" x14ac:dyDescent="0.25">
      <c r="A5" t="s">
        <v>2</v>
      </c>
      <c r="B5" s="7">
        <v>5</v>
      </c>
      <c r="D5" s="16" t="s">
        <v>32</v>
      </c>
    </row>
    <row r="6" spans="1:9" x14ac:dyDescent="0.25">
      <c r="A6" t="s">
        <v>3</v>
      </c>
      <c r="B6" s="7">
        <v>5.5</v>
      </c>
    </row>
    <row r="7" spans="1:9" x14ac:dyDescent="0.25">
      <c r="A7" t="s">
        <v>4</v>
      </c>
      <c r="B7" s="7">
        <v>6</v>
      </c>
    </row>
    <row r="8" spans="1:9" x14ac:dyDescent="0.25">
      <c r="A8" t="s">
        <v>5</v>
      </c>
      <c r="B8" s="7">
        <v>6</v>
      </c>
    </row>
    <row r="9" spans="1:9" x14ac:dyDescent="0.25">
      <c r="A9" t="s">
        <v>6</v>
      </c>
      <c r="B9" s="7">
        <v>5.5</v>
      </c>
    </row>
    <row r="10" spans="1:9" x14ac:dyDescent="0.25">
      <c r="A10" t="s">
        <v>7</v>
      </c>
      <c r="B10" s="7">
        <v>6</v>
      </c>
    </row>
    <row r="11" spans="1:9" x14ac:dyDescent="0.25">
      <c r="A11" t="s">
        <v>8</v>
      </c>
      <c r="B11" s="7">
        <v>5</v>
      </c>
    </row>
    <row r="12" spans="1:9" x14ac:dyDescent="0.25">
      <c r="A12" t="s">
        <v>9</v>
      </c>
      <c r="B12" s="7">
        <v>5</v>
      </c>
    </row>
    <row r="13" spans="1:9" x14ac:dyDescent="0.25">
      <c r="A13" t="s">
        <v>12</v>
      </c>
      <c r="B13" s="7">
        <v>10</v>
      </c>
    </row>
    <row r="14" spans="1:9" x14ac:dyDescent="0.25">
      <c r="A14" t="s">
        <v>13</v>
      </c>
      <c r="B14" s="7">
        <v>15</v>
      </c>
    </row>
    <row r="15" spans="1:9" x14ac:dyDescent="0.25">
      <c r="A15" t="s">
        <v>10</v>
      </c>
      <c r="B15" s="7">
        <v>8</v>
      </c>
    </row>
    <row r="16" spans="1:9" x14ac:dyDescent="0.25">
      <c r="A16" t="s">
        <v>11</v>
      </c>
      <c r="B16" s="7">
        <v>7</v>
      </c>
    </row>
    <row r="17" spans="1:2" x14ac:dyDescent="0.25">
      <c r="A17" t="s">
        <v>14</v>
      </c>
      <c r="B17" s="7">
        <v>3.5</v>
      </c>
    </row>
    <row r="18" spans="1:2" x14ac:dyDescent="0.25">
      <c r="A18" t="s">
        <v>15</v>
      </c>
      <c r="B18" s="7">
        <v>6</v>
      </c>
    </row>
    <row r="19" spans="1:2" x14ac:dyDescent="0.25">
      <c r="A19" t="s">
        <v>16</v>
      </c>
      <c r="B19" s="7">
        <v>7</v>
      </c>
    </row>
    <row r="20" spans="1:2" x14ac:dyDescent="0.25">
      <c r="A20" t="s">
        <v>17</v>
      </c>
      <c r="B20" s="7">
        <v>15</v>
      </c>
    </row>
    <row r="21" spans="1:2" x14ac:dyDescent="0.25">
      <c r="A21" t="s">
        <v>18</v>
      </c>
      <c r="B21" s="7">
        <v>6</v>
      </c>
    </row>
    <row r="22" spans="1:2" x14ac:dyDescent="0.25">
      <c r="A22" t="s">
        <v>19</v>
      </c>
      <c r="B22" s="7">
        <v>5</v>
      </c>
    </row>
    <row r="23" spans="1:2" x14ac:dyDescent="0.25">
      <c r="A23" t="s">
        <v>20</v>
      </c>
      <c r="B23" s="7">
        <v>6</v>
      </c>
    </row>
    <row r="24" spans="1:2" x14ac:dyDescent="0.25">
      <c r="A24" t="s">
        <v>23</v>
      </c>
      <c r="B24" s="7">
        <v>3</v>
      </c>
    </row>
  </sheetData>
  <mergeCells count="1">
    <mergeCell ref="A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AD8A8-6A37-4A53-A3E5-5FC2675C1747}">
  <sheetPr codeName="Planilha3"/>
  <dimension ref="A1:D9"/>
  <sheetViews>
    <sheetView showGridLines="0" zoomScale="190" zoomScaleNormal="190" workbookViewId="0">
      <selection activeCell="F6" sqref="F6"/>
    </sheetView>
  </sheetViews>
  <sheetFormatPr defaultRowHeight="15" x14ac:dyDescent="0.25"/>
  <cols>
    <col min="1" max="1" width="15" customWidth="1"/>
    <col min="2" max="2" width="16.42578125" bestFit="1" customWidth="1"/>
    <col min="3" max="3" width="16.140625" customWidth="1"/>
  </cols>
  <sheetData>
    <row r="1" spans="1:4" s="1" customFormat="1" ht="31.5" x14ac:dyDescent="0.5">
      <c r="A1" s="2" t="s">
        <v>0</v>
      </c>
    </row>
    <row r="2" spans="1:4" s="5" customFormat="1" ht="18.75" x14ac:dyDescent="0.3">
      <c r="A2" s="4" t="s">
        <v>35</v>
      </c>
    </row>
    <row r="3" spans="1:4" s="3" customFormat="1" x14ac:dyDescent="0.25">
      <c r="A3" s="6" t="s">
        <v>33</v>
      </c>
      <c r="B3" s="6" t="s">
        <v>34</v>
      </c>
      <c r="C3" s="6" t="s">
        <v>27</v>
      </c>
      <c r="D3" s="6" t="s">
        <v>28</v>
      </c>
    </row>
    <row r="4" spans="1:4" x14ac:dyDescent="0.25">
      <c r="A4" t="s">
        <v>32</v>
      </c>
      <c r="B4" s="18">
        <v>45149.596828703703</v>
      </c>
      <c r="C4" s="7">
        <v>11.5</v>
      </c>
      <c r="D4" t="s">
        <v>36</v>
      </c>
    </row>
    <row r="5" spans="1:4" s="14" customFormat="1" x14ac:dyDescent="0.25">
      <c r="C5" s="7"/>
    </row>
    <row r="6" spans="1:4" s="14" customFormat="1" ht="18.75" x14ac:dyDescent="0.3">
      <c r="A6" s="4"/>
      <c r="C6" s="9"/>
    </row>
    <row r="7" spans="1:4" s="14" customFormat="1" x14ac:dyDescent="0.25">
      <c r="A7"/>
      <c r="C7" s="7"/>
    </row>
    <row r="8" spans="1:4" s="14" customFormat="1" x14ac:dyDescent="0.25">
      <c r="C8" s="7"/>
    </row>
    <row r="9" spans="1:4" s="14" customFormat="1" x14ac:dyDescent="0.25">
      <c r="C9" s="7"/>
    </row>
  </sheetData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A22980-D69F-4577-A6F5-6106D8733350}">
          <x14:formula1>
            <xm:f>cardapio!$D$3:$D$5</xm:f>
          </x14:formula1>
          <xm:sqref>A7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comanda</vt:lpstr>
      <vt:lpstr>cardapio</vt:lpstr>
      <vt:lpstr>relatorio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Des</cp:lastModifiedBy>
  <dcterms:created xsi:type="dcterms:W3CDTF">2023-08-04T18:27:53Z</dcterms:created>
  <dcterms:modified xsi:type="dcterms:W3CDTF">2023-08-11T17:33:35Z</dcterms:modified>
</cp:coreProperties>
</file>
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ris\OneDrive\Documentos\excel_avancado\aula07\"/>
    </mc:Choice>
  </mc:AlternateContent>
  <xr:revisionPtr revIDLastSave="0" documentId="13_ncr:1_{740B4808-0863-4024-A948-125C7C3387D8}" xr6:coauthVersionLast="47" xr6:coauthVersionMax="47" xr10:uidLastSave="{00000000-0000-0000-0000-000000000000}"/>
  <bookViews>
    <workbookView xWindow="-108" yWindow="-108" windowWidth="23256" windowHeight="12576" activeTab="3" xr2:uid="{8C24B9AA-A4C0-4703-86E0-FDEA2F4E15DC}"/>
  </bookViews>
  <sheets>
    <sheet name="negocio" sheetId="1" r:id="rId1"/>
    <sheet name="produtos" sheetId="3" r:id="rId2"/>
    <sheet name="resultados" sheetId="4" r:id="rId3"/>
    <sheet name="dashboard" sheetId="5" r:id="rId4"/>
  </sheets>
  <definedNames>
    <definedName name="DadosExternos_1" localSheetId="1" hidden="1">produtos!$A$4:$C$34</definedName>
    <definedName name="SegmentaçãodeDados_Produtos">#N/A</definedName>
    <definedName name="SegmentaçãodeDados_Tipo">#N/A</definedName>
    <definedName name="SegmentaçãodeDados_Valor">#N/A</definedName>
  </definedNames>
  <calcPr calcId="191029"/>
  <pivotCaches>
    <pivotCache cacheId="6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D4" i="1" s="1"/>
  <c r="E4" i="1" s="1"/>
  <c r="F4" i="1" s="1"/>
  <c r="B5" i="1"/>
  <c r="D5" i="1" s="1"/>
  <c r="E5" i="1" s="1"/>
  <c r="F5" i="1" s="1"/>
  <c r="B6" i="1"/>
  <c r="D6" i="1" s="1"/>
  <c r="E6" i="1" s="1"/>
  <c r="F6" i="1" s="1"/>
  <c r="B7" i="1"/>
  <c r="D7" i="1" s="1"/>
  <c r="E7" i="1" s="1"/>
  <c r="F7" i="1" s="1"/>
  <c r="B8" i="1"/>
  <c r="D8" i="1" s="1"/>
  <c r="E8" i="1" s="1"/>
  <c r="F8" i="1" s="1"/>
  <c r="B9" i="1"/>
  <c r="D9" i="1" s="1"/>
  <c r="E9" i="1" s="1"/>
  <c r="F9" i="1" s="1"/>
  <c r="B10" i="1"/>
  <c r="B11" i="1"/>
  <c r="B12" i="1"/>
  <c r="B13" i="1"/>
  <c r="B14" i="1"/>
  <c r="B15" i="1"/>
  <c r="B16" i="1"/>
  <c r="B17" i="1"/>
  <c r="B18" i="1"/>
  <c r="B19" i="1"/>
  <c r="D19" i="1" s="1"/>
  <c r="E19" i="1" s="1"/>
  <c r="F19" i="1" s="1"/>
  <c r="B20" i="1"/>
  <c r="B21" i="1"/>
  <c r="D10" i="1"/>
  <c r="D11" i="1"/>
  <c r="D12" i="1"/>
  <c r="D13" i="1"/>
  <c r="D14" i="1"/>
  <c r="D15" i="1"/>
  <c r="D16" i="1"/>
  <c r="D17" i="1"/>
  <c r="D18" i="1"/>
  <c r="D20" i="1"/>
  <c r="D21" i="1"/>
  <c r="F26" i="1"/>
  <c r="F10" i="1"/>
  <c r="F11" i="1"/>
  <c r="F12" i="1"/>
  <c r="F14" i="1"/>
  <c r="F17" i="1"/>
  <c r="F18" i="1"/>
  <c r="F20" i="1"/>
  <c r="F21" i="1"/>
  <c r="E10" i="1"/>
  <c r="E11" i="1"/>
  <c r="E12" i="1"/>
  <c r="E14" i="1"/>
  <c r="E17" i="1"/>
  <c r="E18" i="1"/>
  <c r="E20" i="1"/>
  <c r="E21" i="1"/>
  <c r="E13" i="1"/>
  <c r="F13" i="1" s="1"/>
  <c r="E15" i="1"/>
  <c r="F15" i="1" s="1"/>
  <c r="E16" i="1"/>
  <c r="F16" i="1" s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4" i="1"/>
  <c r="F25" i="1" l="1"/>
  <c r="F22" i="1" l="1"/>
  <c r="F23" i="1"/>
  <c r="F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99863B-E6BF-4490-AE6E-CE3F2EA1E444}" keepAlive="1" name="Consulta - produtos" description="Conexão com a consulta 'produtos' na pasta de trabalho." type="5" refreshedVersion="8" background="1" saveData="1">
    <dbPr connection="Provider=Microsoft.Mashup.OleDb.1;Data Source=$Workbook$;Location=produtos;Extended Properties=&quot;&quot;" command="SELECT * FROM [produtos]"/>
  </connection>
</connections>
</file>

<file path=xl/sharedStrings.xml><?xml version="1.0" encoding="utf-8"?>
<sst xmlns="http://schemas.openxmlformats.org/spreadsheetml/2006/main" count="96" uniqueCount="52">
  <si>
    <t>Sistema - Registro de pedidos Loja de Roupas</t>
  </si>
  <si>
    <t>Negócios</t>
  </si>
  <si>
    <t>Produtos</t>
  </si>
  <si>
    <t>Valor</t>
  </si>
  <si>
    <t>Tipo</t>
  </si>
  <si>
    <t>Custo</t>
  </si>
  <si>
    <t>Preço</t>
  </si>
  <si>
    <t>Ganho</t>
  </si>
  <si>
    <t>Bermuda cargo</t>
  </si>
  <si>
    <t>Roupas Masculina</t>
  </si>
  <si>
    <t>Blazer de linho</t>
  </si>
  <si>
    <t>Roupas Feminina</t>
  </si>
  <si>
    <t>Blusa de alças básica</t>
  </si>
  <si>
    <t>Blusa de frio com zíper</t>
  </si>
  <si>
    <t>Bolsa tiracolo</t>
  </si>
  <si>
    <t>Acessórios</t>
  </si>
  <si>
    <t>Boné de baseball</t>
  </si>
  <si>
    <t>Calça chino slim</t>
  </si>
  <si>
    <t>Calça jeans reta</t>
  </si>
  <si>
    <t>Calça jeans skinny</t>
  </si>
  <si>
    <t>Camisa social listrada</t>
  </si>
  <si>
    <t>Camiseta básica de manga longa</t>
  </si>
  <si>
    <t>Camiseta estampada</t>
  </si>
  <si>
    <t>Camiseta polo</t>
  </si>
  <si>
    <t>Casaco de lã oversized</t>
  </si>
  <si>
    <t>Chapéu de feltro</t>
  </si>
  <si>
    <t>Cinto de couro</t>
  </si>
  <si>
    <t>Conjunto de moletom (blusa e calça)</t>
  </si>
  <si>
    <t>Jaqueta corta-vento</t>
  </si>
  <si>
    <t>Jaqueta de couro sintético</t>
  </si>
  <si>
    <t>Lenço estampado</t>
  </si>
  <si>
    <t>Macacão pantacourt</t>
  </si>
  <si>
    <t>Mochila urbana</t>
  </si>
  <si>
    <t>Moletom com capuz</t>
  </si>
  <si>
    <t>Óculos de sol aviador</t>
  </si>
  <si>
    <t>Pulseira de couro com detalhes em metal</t>
  </si>
  <si>
    <t>Relógio analógico</t>
  </si>
  <si>
    <t>Saia midi plissada</t>
  </si>
  <si>
    <t>Suéter de tricô</t>
  </si>
  <si>
    <t>Tênis casual de lona</t>
  </si>
  <si>
    <t>Vestido floral curto</t>
  </si>
  <si>
    <t>Custo Total</t>
  </si>
  <si>
    <t>Faturamento Total</t>
  </si>
  <si>
    <t>Ganho Total</t>
  </si>
  <si>
    <t>Quantidade de produtos Vendidos</t>
  </si>
  <si>
    <t>Data</t>
  </si>
  <si>
    <t>Dados</t>
  </si>
  <si>
    <t>Faturamento</t>
  </si>
  <si>
    <t>Quantidade</t>
  </si>
  <si>
    <t>Rótulos de Linha</t>
  </si>
  <si>
    <t>Total Geral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</si>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</sst>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CC99"/>
      <name val="Calibri"/>
      <family val="2"/>
      <scheme val="minor"/>
    </font>
    <font>
      <sz val="18"/>
      <color rgb="FFFFCC99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4" fillId="2" borderId="0" xfId="0" applyFont="1" applyFill="1"/>
    <xf numFmtId="0" fontId="0" fillId="3" borderId="0" xfId="0" applyFill="1"/>
    <xf numFmtId="44" fontId="0" fillId="0" borderId="0" xfId="1" applyFont="1"/>
    <xf numFmtId="0" fontId="0" fillId="0" borderId="0" xfId="0" applyAlignment="1">
      <alignment horizontal="center" vertical="center"/>
    </xf>
    <xf numFmtId="44" fontId="0" fillId="3" borderId="0" xfId="0" applyNumberFormat="1" applyFill="1"/>
    <xf numFmtId="4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vertical="center"/>
    </xf>
    <xf numFmtId="14" fontId="0" fillId="3" borderId="0" xfId="0" applyNumberFormat="1" applyFill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vertical="top"/>
    </xf>
    <xf numFmtId="22" fontId="0" fillId="0" borderId="0" xfId="0" applyNumberFormat="1"/>
    <xf numFmtId="0" fontId="0" fillId="0" borderId="0" xfId="0" applyProtection="1">
      <protection locked="0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eda" xfId="1" builtinId="4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66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[prova.xlsm]produtos!Tabela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produtos!$F$4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produtos!$E$5:$E$6</c:f>
              <c:strCache>
                <c:ptCount val="1"/>
                <c:pt idx="0">
                  <c:v>Camiseta estampada</c:v>
                </c:pt>
              </c:strCache>
            </c:strRef>
          </c:cat>
          <c:val>
            <c:numRef>
              <c:f>produtos!$F$5:$F$6</c:f>
              <c:numCache>
                <c:formatCode>General</c:formatCode>
                <c:ptCount val="1"/>
                <c:pt idx="0">
                  <c:v>24.99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6-41F1-8FD5-E41A35BA1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8355152"/>
        <c:axId val="1831359088"/>
      </c:barChart>
      <c:catAx>
        <c:axId val="183835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359088"/>
        <c:crosses val="autoZero"/>
        <c:auto val="1"/>
        <c:lblAlgn val="ctr"/>
        <c:lblOffset val="100"/>
        <c:noMultiLvlLbl val="0"/>
      </c:catAx>
      <c:valAx>
        <c:axId val="18313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35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[prova.xlsm]produtos!Tabela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025371828521432E-2"/>
          <c:y val="0.37800488480606592"/>
          <c:w val="0.77378937007874016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produtos!$I$20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produtos!$H$21:$H$22</c:f>
              <c:strCache>
                <c:ptCount val="1"/>
                <c:pt idx="0">
                  <c:v>Roupas Feminina</c:v>
                </c:pt>
              </c:strCache>
            </c:strRef>
          </c:cat>
          <c:val>
            <c:numRef>
              <c:f>produtos!$I$21:$I$22</c:f>
              <c:numCache>
                <c:formatCode>General</c:formatCode>
                <c:ptCount val="1"/>
                <c:pt idx="0">
                  <c:v>24.99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57-4465-B72D-FB65E8A5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0449632"/>
        <c:axId val="1725965600"/>
      </c:barChart>
      <c:catAx>
        <c:axId val="18304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5965600"/>
        <c:crosses val="autoZero"/>
        <c:auto val="1"/>
        <c:lblAlgn val="ctr"/>
        <c:lblOffset val="100"/>
        <c:noMultiLvlLbl val="0"/>
      </c:catAx>
      <c:valAx>
        <c:axId val="17259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44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[prova.xlsm]produtos!Tabela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produtos!$F$4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produtos!$E$5:$E$6</c:f>
              <c:strCache>
                <c:ptCount val="1"/>
                <c:pt idx="0">
                  <c:v>Camiseta estampada</c:v>
                </c:pt>
              </c:strCache>
            </c:strRef>
          </c:cat>
          <c:val>
            <c:numRef>
              <c:f>produtos!$F$5:$F$6</c:f>
              <c:numCache>
                <c:formatCode>General</c:formatCode>
                <c:ptCount val="1"/>
                <c:pt idx="0">
                  <c:v>24.99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F5-4793-ADAB-8C7EAC91D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8355152"/>
        <c:axId val="1831359088"/>
      </c:barChart>
      <c:catAx>
        <c:axId val="183835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359088"/>
        <c:crosses val="autoZero"/>
        <c:auto val="1"/>
        <c:lblAlgn val="ctr"/>
        <c:lblOffset val="100"/>
        <c:noMultiLvlLbl val="0"/>
      </c:catAx>
      <c:valAx>
        <c:axId val="18313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35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[prova.xlsm]produtos!Tabela dinâmica2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025371828521432E-2"/>
          <c:y val="0.37800488480606592"/>
          <c:w val="0.77378937007874016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produtos!$I$20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produtos!$H$21:$H$22</c:f>
              <c:strCache>
                <c:ptCount val="1"/>
                <c:pt idx="0">
                  <c:v>Roupas Feminina</c:v>
                </c:pt>
              </c:strCache>
            </c:strRef>
          </c:cat>
          <c:val>
            <c:numRef>
              <c:f>produtos!$I$21:$I$22</c:f>
              <c:numCache>
                <c:formatCode>General</c:formatCode>
                <c:ptCount val="1"/>
                <c:pt idx="0">
                  <c:v>24.99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B-49C5-8F9A-417872089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0449632"/>
        <c:axId val="1725965600"/>
      </c:barChart>
      <c:catAx>
        <c:axId val="18304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5965600"/>
        <c:crosses val="autoZero"/>
        <c:auto val="1"/>
        <c:lblAlgn val="ctr"/>
        <c:lblOffset val="100"/>
        <c:noMultiLvlLbl val="0"/>
      </c:catAx>
      <c:valAx>
        <c:axId val="17259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44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0</xdr:rowOff>
    </xdr:from>
    <xdr:to>
      <xdr:col>9</xdr:col>
      <xdr:colOff>228599</xdr:colOff>
      <xdr:row>1</xdr:row>
      <xdr:rowOff>323850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54CBD6E0-41F8-CB70-E418-F5F34026C5E0}"/>
            </a:ext>
          </a:extLst>
        </xdr:cNvPr>
        <xdr:cNvSpPr/>
      </xdr:nvSpPr>
      <xdr:spPr>
        <a:xfrm>
          <a:off x="8943974" y="333375"/>
          <a:ext cx="1419225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 fLocksWithSheet="0"/>
  </xdr:twoCellAnchor>
  <xdr:twoCellAnchor>
    <xdr:from>
      <xdr:col>7</xdr:col>
      <xdr:colOff>28575</xdr:colOff>
      <xdr:row>2</xdr:row>
      <xdr:rowOff>171450</xdr:rowOff>
    </xdr:from>
    <xdr:to>
      <xdr:col>9</xdr:col>
      <xdr:colOff>219075</xdr:colOff>
      <xdr:row>4</xdr:row>
      <xdr:rowOff>9525</xdr:rowOff>
    </xdr:to>
    <xdr:sp macro="[0]!Registrar" textlink="">
      <xdr:nvSpPr>
        <xdr:cNvPr id="4" name="Retângulo 3">
          <a:extLst>
            <a:ext uri="{FF2B5EF4-FFF2-40B4-BE49-F238E27FC236}">
              <a16:creationId xmlns:a16="http://schemas.microsoft.com/office/drawing/2014/main" id="{9F1B2FE2-270E-4DDF-9F58-2A997FB2E742}"/>
            </a:ext>
          </a:extLst>
        </xdr:cNvPr>
        <xdr:cNvSpPr/>
      </xdr:nvSpPr>
      <xdr:spPr>
        <a:xfrm>
          <a:off x="8943975" y="838200"/>
          <a:ext cx="1409700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Registrar Resultados</a:t>
          </a:r>
        </a:p>
        <a:p>
          <a:pPr algn="l"/>
          <a:endParaRPr lang="pt-BR" sz="1100"/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2</xdr:row>
      <xdr:rowOff>171450</xdr:rowOff>
    </xdr:from>
    <xdr:to>
      <xdr:col>10</xdr:col>
      <xdr:colOff>434340</xdr:colOff>
      <xdr:row>17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07433C-010E-CC02-1396-DAD77933A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129540</xdr:colOff>
      <xdr:row>27</xdr:row>
      <xdr:rowOff>11430</xdr:rowOff>
    </xdr:from>
    <xdr:to>
      <xdr:col>10</xdr:col>
      <xdr:colOff>289560</xdr:colOff>
      <xdr:row>42</xdr:row>
      <xdr:rowOff>11430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E1B142-5FA3-60E1-7774-886080268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3</xdr:row>
      <xdr:rowOff>7620</xdr:rowOff>
    </xdr:from>
    <xdr:to>
      <xdr:col>9</xdr:col>
      <xdr:colOff>487680</xdr:colOff>
      <xdr:row>18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D728AC-38D4-4674-92C4-6A7D90B63A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</xdr:colOff>
      <xdr:row>3</xdr:row>
      <xdr:rowOff>22860</xdr:rowOff>
    </xdr:from>
    <xdr:to>
      <xdr:col>19</xdr:col>
      <xdr:colOff>259080</xdr:colOff>
      <xdr:row>18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C12F6D9-0BB8-4B03-AAEE-D935998A6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152400</xdr:colOff>
      <xdr:row>18</xdr:row>
      <xdr:rowOff>167640</xdr:rowOff>
    </xdr:from>
    <xdr:to>
      <xdr:col>5</xdr:col>
      <xdr:colOff>152400</xdr:colOff>
      <xdr:row>32</xdr:row>
      <xdr:rowOff>74295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Produtos">
              <a:extLst>
                <a:ext uri="{FF2B5EF4-FFF2-40B4-BE49-F238E27FC236}">
                  <a16:creationId xmlns:a16="http://schemas.microsoft.com/office/drawing/2014/main" id="{9EC44845-7333-7B36-E3EB-36A56D92D3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600" y="3459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281940</xdr:colOff>
      <xdr:row>18</xdr:row>
      <xdr:rowOff>167640</xdr:rowOff>
    </xdr:from>
    <xdr:to>
      <xdr:col>8</xdr:col>
      <xdr:colOff>281940</xdr:colOff>
      <xdr:row>32</xdr:row>
      <xdr:rowOff>74295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Valor">
              <a:extLst>
                <a:ext uri="{FF2B5EF4-FFF2-40B4-BE49-F238E27FC236}">
                  <a16:creationId xmlns:a16="http://schemas.microsoft.com/office/drawing/2014/main" id="{1ADA36D8-ABE1-C26B-4006-52CA67D0BC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29940" y="3459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502920</xdr:colOff>
      <xdr:row>18</xdr:row>
      <xdr:rowOff>175260</xdr:rowOff>
    </xdr:from>
    <xdr:to>
      <xdr:col>11</xdr:col>
      <xdr:colOff>502920</xdr:colOff>
      <xdr:row>32</xdr:row>
      <xdr:rowOff>81915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ipo">
              <a:extLst>
                <a:ext uri="{FF2B5EF4-FFF2-40B4-BE49-F238E27FC236}">
                  <a16:creationId xmlns:a16="http://schemas.microsoft.com/office/drawing/2014/main" id="{3A51D716-7E6C-6D1B-F77D-DD457E3314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79720" y="34671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issa Motta Carrara" refreshedDate="45151.769621412037" createdVersion="8" refreshedVersion="8" minRefreshableVersion="3" recordCount="30" xr:uid="{9082ED74-BE23-40B9-94B9-0D90F53AFA60}">
  <cacheSource type="worksheet">
    <worksheetSource name="produtos"/>
  </cacheSource>
  <cacheFields count="3">
    <cacheField name="Produtos" numFmtId="0">
      <sharedItems count="30">
        <s v="Bermuda cargo"/>
        <s v="Blazer de linho"/>
        <s v="Blusa de alças básica"/>
        <s v="Blusa de frio com zíper"/>
        <s v="Bolsa tiracolo"/>
        <s v="Boné de baseball"/>
        <s v="Calça chino slim"/>
        <s v="Calça jeans reta"/>
        <s v="Calça jeans skinny"/>
        <s v="Camisa social listrada"/>
        <s v="Camiseta básica de manga longa"/>
        <s v="Camiseta estampada"/>
        <s v="Camiseta polo"/>
        <s v="Casaco de lã oversized"/>
        <s v="Chapéu de feltro"/>
        <s v="Cinto de couro"/>
        <s v="Conjunto de moletom (blusa e calça)"/>
        <s v="Jaqueta corta-vento"/>
        <s v="Jaqueta de couro sintético"/>
        <s v="Lenço estampado"/>
        <s v="Macacão pantacourt"/>
        <s v="Mochila urbana"/>
        <s v="Moletom com capuz"/>
        <s v="Óculos de sol aviador"/>
        <s v="Pulseira de couro com detalhes em metal"/>
        <s v="Relógio analógico"/>
        <s v="Saia midi plissada"/>
        <s v="Suéter de tricô"/>
        <s v="Tênis casual de lona"/>
        <s v="Vestido floral curto"/>
      </sharedItems>
    </cacheField>
    <cacheField name="Valor" numFmtId="0">
      <sharedItems containsSemiMixedTypes="0" containsString="0" containsNumber="1" minValue="14.99" maxValue="129.99" count="14">
        <n v="39.99"/>
        <n v="79.989999999999995"/>
        <n v="19.989999999999998"/>
        <n v="44.99"/>
        <n v="49.99"/>
        <n v="59.99"/>
        <n v="69.989999999999995"/>
        <n v="29.99"/>
        <n v="24.99"/>
        <n v="34.99"/>
        <n v="129.99"/>
        <n v="89.99"/>
        <n v="14.99"/>
        <n v="109.99"/>
      </sharedItems>
    </cacheField>
    <cacheField name="Tipo" numFmtId="0">
      <sharedItems count="3">
        <s v="Roupas Masculina"/>
        <s v="Roupas Feminina"/>
        <s v="Acessórios"/>
      </sharedItems>
    </cacheField>
  </cacheFields>
  <extLst>
    <ext xmlns:x14="http://schemas.microsoft.com/office/spreadsheetml/2009/9/main" uri="{725AE2AE-9491-48be-B2B4-4EB974FC3084}">
      <x14:pivotCacheDefinition pivotCacheId="17065399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</r>
  <r>
    <x v="1"/>
    <x v="1"/>
    <x v="1"/>
  </r>
  <r>
    <x v="2"/>
    <x v="2"/>
    <x v="1"/>
  </r>
  <r>
    <x v="3"/>
    <x v="3"/>
    <x v="0"/>
  </r>
  <r>
    <x v="4"/>
    <x v="4"/>
    <x v="2"/>
  </r>
  <r>
    <x v="5"/>
    <x v="2"/>
    <x v="2"/>
  </r>
  <r>
    <x v="6"/>
    <x v="4"/>
    <x v="0"/>
  </r>
  <r>
    <x v="7"/>
    <x v="5"/>
    <x v="0"/>
  </r>
  <r>
    <x v="8"/>
    <x v="6"/>
    <x v="1"/>
  </r>
  <r>
    <x v="9"/>
    <x v="5"/>
    <x v="0"/>
  </r>
  <r>
    <x v="10"/>
    <x v="7"/>
    <x v="0"/>
  </r>
  <r>
    <x v="11"/>
    <x v="8"/>
    <x v="1"/>
  </r>
  <r>
    <x v="12"/>
    <x v="9"/>
    <x v="0"/>
  </r>
  <r>
    <x v="13"/>
    <x v="10"/>
    <x v="1"/>
  </r>
  <r>
    <x v="14"/>
    <x v="0"/>
    <x v="2"/>
  </r>
  <r>
    <x v="15"/>
    <x v="7"/>
    <x v="2"/>
  </r>
  <r>
    <x v="16"/>
    <x v="1"/>
    <x v="1"/>
  </r>
  <r>
    <x v="17"/>
    <x v="6"/>
    <x v="0"/>
  </r>
  <r>
    <x v="18"/>
    <x v="11"/>
    <x v="1"/>
  </r>
  <r>
    <x v="19"/>
    <x v="12"/>
    <x v="2"/>
  </r>
  <r>
    <x v="20"/>
    <x v="13"/>
    <x v="1"/>
  </r>
  <r>
    <x v="21"/>
    <x v="5"/>
    <x v="2"/>
  </r>
  <r>
    <x v="22"/>
    <x v="4"/>
    <x v="0"/>
  </r>
  <r>
    <x v="23"/>
    <x v="1"/>
    <x v="2"/>
  </r>
  <r>
    <x v="24"/>
    <x v="8"/>
    <x v="2"/>
  </r>
  <r>
    <x v="25"/>
    <x v="11"/>
    <x v="2"/>
  </r>
  <r>
    <x v="26"/>
    <x v="5"/>
    <x v="1"/>
  </r>
  <r>
    <x v="27"/>
    <x v="0"/>
    <x v="0"/>
  </r>
  <r>
    <x v="28"/>
    <x v="6"/>
    <x v="2"/>
  </r>
  <r>
    <x v="29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75BEF-FDD4-4013-B177-4936A7D98800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H20:I22" firstHeaderRow="1" firstDataRow="1" firstDataCol="1"/>
  <pivotFields count="3">
    <pivotField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>
      <items count="15">
        <item h="1" x="12"/>
        <item h="1" x="2"/>
        <item x="8"/>
        <item h="1" x="7"/>
        <item h="1" x="9"/>
        <item h="1" x="0"/>
        <item h="1" x="3"/>
        <item h="1" x="4"/>
        <item h="1" x="5"/>
        <item h="1" x="6"/>
        <item h="1" x="1"/>
        <item h="1" x="11"/>
        <item h="1" x="13"/>
        <item h="1" x="10"/>
        <item t="default"/>
      </items>
    </pivotField>
    <pivotField axis="axisRow" showAll="0">
      <items count="4">
        <item h="1" x="2"/>
        <item x="1"/>
        <item h="1" x="0"/>
        <item t="default"/>
      </items>
    </pivotField>
  </pivotFields>
  <rowFields count="1">
    <field x="2"/>
  </rowFields>
  <rowItems count="2">
    <i>
      <x v="1"/>
    </i>
    <i t="grand">
      <x/>
    </i>
  </rowItems>
  <colItems count="1">
    <i/>
  </colItems>
  <dataFields count="1">
    <dataField name="Soma de Valor" fld="1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10217-C6C5-4878-915A-4822A70C3ACE}" name="Tabela dinâmica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E4:F6" firstHeaderRow="1" firstDataRow="1" firstDataCol="1"/>
  <pivotFields count="3">
    <pivotField axis="axisRow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>
      <items count="15">
        <item h="1" x="12"/>
        <item h="1" x="2"/>
        <item x="8"/>
        <item h="1" x="7"/>
        <item h="1" x="9"/>
        <item h="1" x="0"/>
        <item h="1" x="3"/>
        <item h="1" x="4"/>
        <item h="1" x="5"/>
        <item h="1" x="6"/>
        <item h="1" x="1"/>
        <item h="1" x="11"/>
        <item h="1" x="13"/>
        <item h="1" x="10"/>
        <item t="default"/>
      </items>
    </pivotField>
    <pivotField showAll="0">
      <items count="4">
        <item h="1" x="2"/>
        <item x="1"/>
        <item h="1" x="0"/>
        <item t="default"/>
      </items>
    </pivotField>
  </pivotFields>
  <rowFields count="1">
    <field x="0"/>
  </rowFields>
  <rowItems count="2">
    <i>
      <x v="11"/>
    </i>
    <i t="grand">
      <x/>
    </i>
  </rowItems>
  <colItems count="1">
    <i/>
  </colItems>
  <dataFields count="1">
    <dataField name="Soma de Valor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9C69D24-6B0F-4964-8474-813BAA70356D}" autoFormatId="16" applyNumberFormats="0" applyBorderFormats="0" applyFontFormats="0" applyPatternFormats="0" applyAlignmentFormats="0" applyWidthHeightFormats="0">
  <queryTableRefresh nextId="4">
    <queryTableFields count="3">
      <queryTableField id="1" name="Produtos" tableColumnId="1"/>
      <queryTableField id="2" name="Valor" tableColumnId="2"/>
      <queryTableField id="3" name="Tipo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s" xr10:uid="{0784FD55-01B3-4AC5-916D-916813B23462}" sourceName="Produtos">
  <pivotTables>
    <pivotTable tabId="3" name="Tabela dinâmica1"/>
    <pivotTable tabId="3" name="Tabela dinâmica2"/>
  </pivotTables>
  <data>
    <tabular pivotCacheId="1706539946">
      <items count="30">
        <i x="11" s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lor" xr10:uid="{4C661F8A-3E9A-41FE-9C24-BC8204F4658C}" sourceName="Valor">
  <pivotTables>
    <pivotTable tabId="3" name="Tabela dinâmica1"/>
    <pivotTable tabId="3" name="Tabela dinâmica2"/>
  </pivotTables>
  <data>
    <tabular pivotCacheId="1706539946">
      <items count="14">
        <i x="2"/>
        <i x="8" s="1"/>
        <i x="5"/>
        <i x="6"/>
        <i x="1"/>
        <i x="11"/>
        <i x="13"/>
        <i x="10"/>
        <i x="12" nd="1"/>
        <i x="7" nd="1"/>
        <i x="9" nd="1"/>
        <i x="0" nd="1"/>
        <i x="3" nd="1"/>
        <i x="4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A6F4AD7B-E95B-45B9-9459-8738E90F1841}" sourceName="Tipo">
  <pivotTables>
    <pivotTable tabId="3" name="Tabela dinâmica1"/>
    <pivotTable tabId="3" name="Tabela dinâmica2"/>
  </pivotTables>
  <data>
    <tabular pivotCacheId="1706539946">
      <items count="3">
        <i x="2"/>
        <i x="1" s="1"/>
        <i x="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s" xr10:uid="{1EA38897-11C9-4F69-9DE7-84E548BC8D5E}" cache="SegmentaçãodeDados_Produtos" caption="Produtos" rowHeight="234950"/>
  <slicer name="Valor" xr10:uid="{4EFA74B6-43DC-4EA0-A0D7-4A3B391CBAC8}" cache="SegmentaçãodeDados_Valor" caption="Valor" rowHeight="234950"/>
  <slicer name="Tipo" xr10:uid="{A8AA9FA8-39D6-4388-8A23-7D262E2C927A}" cache="SegmentaçãodeDados_Tipo" caption="Tipo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585C77-A04A-414B-BB4F-2506811BC06C}" name="produtos" displayName="produtos" ref="A4:C34" tableType="queryTable" totalsRowShown="0">
  <autoFilter ref="A4:C34" xr:uid="{4C585C77-A04A-414B-BB4F-2506811BC06C}"/>
  <tableColumns count="3">
    <tableColumn id="1" xr3:uid="{BB661E50-0AB3-47C4-9E37-5E1FDC464862}" uniqueName="1" name="Produtos" queryTableFieldId="1" dataDxfId="1"/>
    <tableColumn id="2" xr3:uid="{B5C0E3DF-F52E-4570-AE3F-D363F5EF13C8}" uniqueName="2" name="Valor" queryTableFieldId="2"/>
    <tableColumn id="3" xr3:uid="{46107C45-33AD-48C3-9838-05972FCE874E}" uniqueName="3" name="Tipo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52DF-D32E-4AA5-88EA-72972A5E8283}">
  <sheetPr codeName="Planilha1"/>
  <dimension ref="A1:F26"/>
  <sheetViews>
    <sheetView workbookViewId="0">
      <selection activeCell="B13" sqref="B13"/>
    </sheetView>
  </sheetViews>
  <sheetFormatPr defaultRowHeight="14.4" x14ac:dyDescent="0.3"/>
  <cols>
    <col min="1" max="1" width="56" customWidth="1"/>
    <col min="2" max="2" width="9.5546875" bestFit="1" customWidth="1"/>
    <col min="3" max="3" width="20.5546875" customWidth="1"/>
    <col min="4" max="5" width="9.5546875" bestFit="1" customWidth="1"/>
    <col min="6" max="6" width="19.33203125" customWidth="1"/>
  </cols>
  <sheetData>
    <row r="1" spans="1:6" ht="25.8" x14ac:dyDescent="0.3">
      <c r="A1" s="15" t="s">
        <v>0</v>
      </c>
      <c r="B1" s="15"/>
      <c r="C1" s="15"/>
      <c r="D1" s="15"/>
      <c r="E1" s="15"/>
      <c r="F1" s="15"/>
    </row>
    <row r="2" spans="1:6" ht="25.8" x14ac:dyDescent="0.5">
      <c r="A2" s="16" t="s">
        <v>1</v>
      </c>
      <c r="B2" s="16"/>
      <c r="C2" s="16"/>
      <c r="D2" s="16"/>
      <c r="E2" s="16"/>
      <c r="F2" s="16"/>
    </row>
    <row r="3" spans="1:6" ht="23.4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13" t="s">
        <v>20</v>
      </c>
      <c r="B4" s="3">
        <f>IF(A4="","",VLOOKUP(A4,produtos[[Produtos]:[Valor]],2,0))</f>
        <v>59.99</v>
      </c>
      <c r="C4" s="4" t="str">
        <f>IF(A4="", "-",VLOOKUP(A4,produtos[],3,0))</f>
        <v>Roupas Masculina</v>
      </c>
      <c r="D4" s="6">
        <f>IF(A4="","-",(B4*10%)+B4)</f>
        <v>65.989000000000004</v>
      </c>
      <c r="E4" s="6">
        <f>IF(A4="","-",(D4*15%)+D4)</f>
        <v>75.887349999999998</v>
      </c>
      <c r="F4" s="6">
        <f>IF(A4="","-",(E4-D4))</f>
        <v>9.8983499999999935</v>
      </c>
    </row>
    <row r="5" spans="1:6" x14ac:dyDescent="0.3">
      <c r="A5" s="13"/>
      <c r="B5" s="3" t="str">
        <f>IF(A5="","",VLOOKUP(A5,produtos[[Produtos]:[Valor]],2,0))</f>
        <v/>
      </c>
      <c r="C5" s="4" t="str">
        <f>IF(A5="", "-",VLOOKUP(A5,produtos[],3,0))</f>
        <v>-</v>
      </c>
      <c r="D5" s="6" t="str">
        <f t="shared" ref="D5:D21" si="0">IF(A5="","-",(B5*10%)+B5)</f>
        <v>-</v>
      </c>
      <c r="E5" s="6" t="str">
        <f t="shared" ref="E5:E21" si="1">IF(A5="","-",(D5*15%)+D5)</f>
        <v>-</v>
      </c>
      <c r="F5" s="6" t="str">
        <f t="shared" ref="F5:F21" si="2">IF(A5="","-",(E5-D5))</f>
        <v>-</v>
      </c>
    </row>
    <row r="6" spans="1:6" x14ac:dyDescent="0.3">
      <c r="A6" s="13"/>
      <c r="B6" s="3" t="str">
        <f>IF(A6="","",VLOOKUP(A6,produtos[[Produtos]:[Valor]],2,0))</f>
        <v/>
      </c>
      <c r="C6" s="4" t="str">
        <f>IF(A6="", "-",VLOOKUP(A6,produtos[],3,0))</f>
        <v>-</v>
      </c>
      <c r="D6" s="6" t="str">
        <f t="shared" si="0"/>
        <v>-</v>
      </c>
      <c r="E6" s="6" t="str">
        <f t="shared" si="1"/>
        <v>-</v>
      </c>
      <c r="F6" s="6" t="str">
        <f t="shared" si="2"/>
        <v>-</v>
      </c>
    </row>
    <row r="7" spans="1:6" x14ac:dyDescent="0.3">
      <c r="A7" s="13" t="s">
        <v>20</v>
      </c>
      <c r="B7" s="3">
        <f>IF(A7="","",VLOOKUP(A7,produtos[[Produtos]:[Valor]],2,0))</f>
        <v>59.99</v>
      </c>
      <c r="C7" s="4" t="str">
        <f>IF(A7="", "-",VLOOKUP(A7,produtos[],3,0))</f>
        <v>Roupas Masculina</v>
      </c>
      <c r="D7" s="6">
        <f t="shared" si="0"/>
        <v>65.989000000000004</v>
      </c>
      <c r="E7" s="6">
        <f t="shared" si="1"/>
        <v>75.887349999999998</v>
      </c>
      <c r="F7" s="6">
        <f t="shared" si="2"/>
        <v>9.8983499999999935</v>
      </c>
    </row>
    <row r="8" spans="1:6" x14ac:dyDescent="0.3">
      <c r="A8" s="13"/>
      <c r="B8" s="3" t="str">
        <f>IF(A8="","",VLOOKUP(A8,produtos[[Produtos]:[Valor]],2,0))</f>
        <v/>
      </c>
      <c r="C8" s="4" t="str">
        <f>IF(A8="", "-",VLOOKUP(A8,produtos[],3,0))</f>
        <v>-</v>
      </c>
      <c r="D8" s="6" t="str">
        <f t="shared" si="0"/>
        <v>-</v>
      </c>
      <c r="E8" s="6" t="str">
        <f t="shared" si="1"/>
        <v>-</v>
      </c>
      <c r="F8" s="6" t="str">
        <f t="shared" si="2"/>
        <v>-</v>
      </c>
    </row>
    <row r="9" spans="1:6" x14ac:dyDescent="0.3">
      <c r="A9" s="13" t="s">
        <v>19</v>
      </c>
      <c r="B9" s="3">
        <f>IF(A9="","",VLOOKUP(A9,produtos[[Produtos]:[Valor]],2,0))</f>
        <v>69.989999999999995</v>
      </c>
      <c r="C9" s="4" t="str">
        <f>IF(A9="", "-",VLOOKUP(A9,produtos[],3,0))</f>
        <v>Roupas Feminina</v>
      </c>
      <c r="D9" s="6">
        <f t="shared" si="0"/>
        <v>76.98899999999999</v>
      </c>
      <c r="E9" s="6">
        <f t="shared" si="1"/>
        <v>88.537349999999989</v>
      </c>
      <c r="F9" s="6">
        <f t="shared" si="2"/>
        <v>11.548349999999999</v>
      </c>
    </row>
    <row r="10" spans="1:6" x14ac:dyDescent="0.3">
      <c r="A10" s="13"/>
      <c r="B10" s="3" t="str">
        <f>IF(A10="","",VLOOKUP(A10,produtos[[Produtos]:[Valor]],2,0))</f>
        <v/>
      </c>
      <c r="C10" s="4" t="str">
        <f>IF(A10="", "-",VLOOKUP(A10,produtos[],3,0))</f>
        <v>-</v>
      </c>
      <c r="D10" s="6" t="str">
        <f t="shared" si="0"/>
        <v>-</v>
      </c>
      <c r="E10" s="6" t="str">
        <f t="shared" si="1"/>
        <v>-</v>
      </c>
      <c r="F10" s="6" t="str">
        <f t="shared" si="2"/>
        <v>-</v>
      </c>
    </row>
    <row r="11" spans="1:6" x14ac:dyDescent="0.3">
      <c r="A11" s="13"/>
      <c r="B11" s="3" t="str">
        <f>IF(A11="","",VLOOKUP(A11,produtos[[Produtos]:[Valor]],2,0))</f>
        <v/>
      </c>
      <c r="C11" s="4" t="str">
        <f>IF(A11="", "-",VLOOKUP(A11,produtos[],3,0))</f>
        <v>-</v>
      </c>
      <c r="D11" s="6" t="str">
        <f t="shared" si="0"/>
        <v>-</v>
      </c>
      <c r="E11" s="6" t="str">
        <f t="shared" si="1"/>
        <v>-</v>
      </c>
      <c r="F11" s="6" t="str">
        <f t="shared" si="2"/>
        <v>-</v>
      </c>
    </row>
    <row r="12" spans="1:6" x14ac:dyDescent="0.3">
      <c r="A12" s="13"/>
      <c r="B12" s="3" t="str">
        <f>IF(A12="","",VLOOKUP(A12,produtos[[Produtos]:[Valor]],2,0))</f>
        <v/>
      </c>
      <c r="C12" s="4" t="str">
        <f>IF(A12="", "-",VLOOKUP(A12,produtos[],3,0))</f>
        <v>-</v>
      </c>
      <c r="D12" s="6" t="str">
        <f t="shared" si="0"/>
        <v>-</v>
      </c>
      <c r="E12" s="6" t="str">
        <f t="shared" si="1"/>
        <v>-</v>
      </c>
      <c r="F12" s="6" t="str">
        <f t="shared" si="2"/>
        <v>-</v>
      </c>
    </row>
    <row r="13" spans="1:6" x14ac:dyDescent="0.3">
      <c r="A13" s="13"/>
      <c r="B13" s="3" t="str">
        <f>IF(A13="","",VLOOKUP(A13,produtos[[Produtos]:[Valor]],2,0))</f>
        <v/>
      </c>
      <c r="C13" s="4" t="str">
        <f>IF(A13="", "-",VLOOKUP(A13,produtos[],3,0))</f>
        <v>-</v>
      </c>
      <c r="D13" s="6" t="str">
        <f t="shared" si="0"/>
        <v>-</v>
      </c>
      <c r="E13" s="6" t="str">
        <f t="shared" si="1"/>
        <v>-</v>
      </c>
      <c r="F13" s="6" t="str">
        <f t="shared" si="2"/>
        <v>-</v>
      </c>
    </row>
    <row r="14" spans="1:6" x14ac:dyDescent="0.3">
      <c r="A14" s="13"/>
      <c r="B14" s="3" t="str">
        <f>IF(A14="","",VLOOKUP(A14,produtos[[Produtos]:[Valor]],2,0))</f>
        <v/>
      </c>
      <c r="C14" s="4" t="str">
        <f>IF(A14="", "-",VLOOKUP(A14,produtos[],3,0))</f>
        <v>-</v>
      </c>
      <c r="D14" s="6" t="str">
        <f t="shared" si="0"/>
        <v>-</v>
      </c>
      <c r="E14" s="6" t="str">
        <f t="shared" si="1"/>
        <v>-</v>
      </c>
      <c r="F14" s="6" t="str">
        <f t="shared" si="2"/>
        <v>-</v>
      </c>
    </row>
    <row r="15" spans="1:6" x14ac:dyDescent="0.3">
      <c r="A15" s="13"/>
      <c r="B15" s="3" t="str">
        <f>IF(A15="","",VLOOKUP(A15,produtos[[Produtos]:[Valor]],2,0))</f>
        <v/>
      </c>
      <c r="C15" s="4" t="str">
        <f>IF(A15="", "-",VLOOKUP(A15,produtos[],3,0))</f>
        <v>-</v>
      </c>
      <c r="D15" s="6" t="str">
        <f t="shared" si="0"/>
        <v>-</v>
      </c>
      <c r="E15" s="6" t="str">
        <f t="shared" si="1"/>
        <v>-</v>
      </c>
      <c r="F15" s="6" t="str">
        <f t="shared" si="2"/>
        <v>-</v>
      </c>
    </row>
    <row r="16" spans="1:6" x14ac:dyDescent="0.3">
      <c r="A16" s="13"/>
      <c r="B16" s="3" t="str">
        <f>IF(A16="","",VLOOKUP(A16,produtos[[Produtos]:[Valor]],2,0))</f>
        <v/>
      </c>
      <c r="C16" s="4" t="str">
        <f>IF(A16="", "-",VLOOKUP(A16,produtos[],3,0))</f>
        <v>-</v>
      </c>
      <c r="D16" s="6" t="str">
        <f t="shared" si="0"/>
        <v>-</v>
      </c>
      <c r="E16" s="7" t="str">
        <f t="shared" si="1"/>
        <v>-</v>
      </c>
      <c r="F16" s="7" t="str">
        <f t="shared" si="2"/>
        <v>-</v>
      </c>
    </row>
    <row r="17" spans="1:6" x14ac:dyDescent="0.3">
      <c r="A17" s="13"/>
      <c r="B17" s="3" t="str">
        <f>IF(A17="","",VLOOKUP(A17,produtos[[Produtos]:[Valor]],2,0))</f>
        <v/>
      </c>
      <c r="C17" s="4" t="str">
        <f>IF(A17="", "-",VLOOKUP(A17,produtos[],3,0))</f>
        <v>-</v>
      </c>
      <c r="D17" s="6" t="str">
        <f t="shared" si="0"/>
        <v>-</v>
      </c>
      <c r="E17" s="6" t="str">
        <f t="shared" si="1"/>
        <v>-</v>
      </c>
      <c r="F17" s="6" t="str">
        <f t="shared" si="2"/>
        <v>-</v>
      </c>
    </row>
    <row r="18" spans="1:6" x14ac:dyDescent="0.3">
      <c r="A18" s="13"/>
      <c r="B18" s="3" t="str">
        <f>IF(A18="","",VLOOKUP(A18,produtos[[Produtos]:[Valor]],2,0))</f>
        <v/>
      </c>
      <c r="C18" s="4" t="str">
        <f>IF(A18="", "-",VLOOKUP(A18,produtos[],3,0))</f>
        <v>-</v>
      </c>
      <c r="D18" s="6" t="str">
        <f t="shared" si="0"/>
        <v>-</v>
      </c>
      <c r="E18" s="6" t="str">
        <f t="shared" si="1"/>
        <v>-</v>
      </c>
      <c r="F18" s="6" t="str">
        <f t="shared" si="2"/>
        <v>-</v>
      </c>
    </row>
    <row r="19" spans="1:6" x14ac:dyDescent="0.3">
      <c r="A19" s="13"/>
      <c r="B19" s="3" t="str">
        <f>IF(A19="","",VLOOKUP(A19,produtos[[Produtos]:[Valor]],2,0))</f>
        <v/>
      </c>
      <c r="C19" s="4" t="str">
        <f>IF(A19="", "-",VLOOKUP(A19,produtos[],3,0))</f>
        <v>-</v>
      </c>
      <c r="D19" s="6" t="str">
        <f t="shared" si="0"/>
        <v>-</v>
      </c>
      <c r="E19" s="6" t="str">
        <f t="shared" si="1"/>
        <v>-</v>
      </c>
      <c r="F19" s="6" t="str">
        <f t="shared" si="2"/>
        <v>-</v>
      </c>
    </row>
    <row r="20" spans="1:6" x14ac:dyDescent="0.3">
      <c r="A20" s="13"/>
      <c r="B20" s="3" t="str">
        <f>IF(A20="","",VLOOKUP(A20,produtos[[Produtos]:[Valor]],2,0))</f>
        <v/>
      </c>
      <c r="C20" s="4" t="str">
        <f>IF(A20="", "-",VLOOKUP(A20,produtos[],3,0))</f>
        <v>-</v>
      </c>
      <c r="D20" s="6" t="str">
        <f t="shared" si="0"/>
        <v>-</v>
      </c>
      <c r="E20" s="6" t="str">
        <f t="shared" si="1"/>
        <v>-</v>
      </c>
      <c r="F20" s="6" t="str">
        <f t="shared" si="2"/>
        <v>-</v>
      </c>
    </row>
    <row r="21" spans="1:6" x14ac:dyDescent="0.3">
      <c r="A21" s="13"/>
      <c r="B21" s="3" t="str">
        <f>IF(A21="","",VLOOKUP(A21,produtos[[Produtos]:[Valor]],2,0))</f>
        <v/>
      </c>
      <c r="C21" s="4" t="str">
        <f>IF(A21="", "-",VLOOKUP(A21,produtos[],3,0))</f>
        <v>-</v>
      </c>
      <c r="D21" s="6" t="str">
        <f t="shared" si="0"/>
        <v>-</v>
      </c>
      <c r="E21" s="6" t="str">
        <f t="shared" si="1"/>
        <v>-</v>
      </c>
      <c r="F21" s="6" t="str">
        <f t="shared" si="2"/>
        <v>-</v>
      </c>
    </row>
    <row r="22" spans="1:6" x14ac:dyDescent="0.3">
      <c r="A22" s="14" t="s">
        <v>41</v>
      </c>
      <c r="B22" s="14"/>
      <c r="C22" s="14"/>
      <c r="D22" s="14"/>
      <c r="E22" s="14"/>
      <c r="F22" s="5">
        <f>SUM(D4:D21)</f>
        <v>208.96699999999998</v>
      </c>
    </row>
    <row r="23" spans="1:6" x14ac:dyDescent="0.3">
      <c r="A23" s="14" t="s">
        <v>42</v>
      </c>
      <c r="B23" s="14"/>
      <c r="C23" s="14"/>
      <c r="D23" s="14"/>
      <c r="E23" s="14"/>
      <c r="F23" s="5">
        <f>SUM(E4:E21)</f>
        <v>240.31205</v>
      </c>
    </row>
    <row r="24" spans="1:6" x14ac:dyDescent="0.3">
      <c r="A24" s="14" t="s">
        <v>43</v>
      </c>
      <c r="B24" s="14"/>
      <c r="C24" s="14"/>
      <c r="D24" s="14"/>
      <c r="E24" s="14"/>
      <c r="F24" s="5">
        <f>SUM(F4:F21)</f>
        <v>31.345049999999986</v>
      </c>
    </row>
    <row r="25" spans="1:6" x14ac:dyDescent="0.3">
      <c r="A25" s="14" t="s">
        <v>44</v>
      </c>
      <c r="B25" s="14"/>
      <c r="C25" s="14"/>
      <c r="D25" s="14"/>
      <c r="E25" s="14"/>
      <c r="F25" s="2">
        <f>COUNT(B4:B21)</f>
        <v>3</v>
      </c>
    </row>
    <row r="26" spans="1:6" x14ac:dyDescent="0.3">
      <c r="A26" s="14" t="s">
        <v>45</v>
      </c>
      <c r="B26" s="14"/>
      <c r="C26" s="14"/>
      <c r="D26" s="14"/>
      <c r="E26" s="14"/>
      <c r="F26" s="8">
        <f ca="1">TODAY()</f>
        <v>45151</v>
      </c>
    </row>
  </sheetData>
  <sheetProtection sheet="1" objects="1" scenarios="1"/>
  <mergeCells count="7">
    <mergeCell ref="A26:E26"/>
    <mergeCell ref="A1:F1"/>
    <mergeCell ref="A2:F2"/>
    <mergeCell ref="A22:E22"/>
    <mergeCell ref="A23:E23"/>
    <mergeCell ref="A24:E24"/>
    <mergeCell ref="A25:E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9CEE75-1E8E-4A9D-A146-A4501A56321D}">
          <x14:formula1>
            <xm:f>produtos!$A$5:$A$34</xm:f>
          </x14:formula1>
          <xm:sqref>A4:A21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EDDB-23FB-420A-8A08-5E37B47BB93E}">
  <sheetPr codeName="Planilha2"/>
  <dimension ref="A1:I34"/>
  <sheetViews>
    <sheetView topLeftCell="A5" zoomScaleNormal="100" workbookViewId="0">
      <selection activeCell="J24" sqref="J24"/>
    </sheetView>
  </sheetViews>
  <sheetFormatPr defaultRowHeight="14.4" x14ac:dyDescent="0.3"/>
  <cols>
    <col min="1" max="1" width="38.44140625" bestFit="1" customWidth="1"/>
    <col min="2" max="2" width="11.44140625" customWidth="1"/>
    <col min="3" max="3" width="20.6640625" customWidth="1"/>
    <col min="4" max="4" width="11.5546875" customWidth="1"/>
    <col min="5" max="5" width="18.21875" bestFit="1" customWidth="1"/>
    <col min="6" max="6" width="13.33203125" bestFit="1" customWidth="1"/>
    <col min="8" max="8" width="17.21875" bestFit="1" customWidth="1"/>
    <col min="9" max="9" width="13.33203125" bestFit="1" customWidth="1"/>
    <col min="10" max="10" width="27" customWidth="1"/>
    <col min="11" max="11" width="13.33203125" bestFit="1" customWidth="1"/>
    <col min="12" max="12" width="17.21875" bestFit="1" customWidth="1"/>
    <col min="13" max="13" width="13.33203125" bestFit="1" customWidth="1"/>
  </cols>
  <sheetData>
    <row r="1" spans="1:6" ht="25.8" x14ac:dyDescent="0.3">
      <c r="A1" s="15" t="s">
        <v>0</v>
      </c>
      <c r="B1" s="15"/>
      <c r="C1" s="15"/>
      <c r="D1" s="15"/>
      <c r="E1" s="15"/>
      <c r="F1" s="15"/>
    </row>
    <row r="2" spans="1:6" ht="25.8" x14ac:dyDescent="0.5">
      <c r="A2" s="16" t="s">
        <v>1</v>
      </c>
      <c r="B2" s="16"/>
      <c r="C2" s="16"/>
      <c r="D2" s="16"/>
      <c r="E2" s="16"/>
      <c r="F2" s="16"/>
    </row>
    <row r="4" spans="1:6" x14ac:dyDescent="0.3">
      <c r="A4" t="s">
        <v>2</v>
      </c>
      <c r="B4" t="s">
        <v>3</v>
      </c>
      <c r="C4" t="s">
        <v>4</v>
      </c>
      <c r="E4" s="19" t="s">
        <v>49</v>
      </c>
      <c r="F4" t="s">
        <v>51</v>
      </c>
    </row>
    <row r="5" spans="1:6" x14ac:dyDescent="0.3">
      <c r="A5" t="s">
        <v>8</v>
      </c>
      <c r="B5">
        <v>39.99</v>
      </c>
      <c r="C5" t="s">
        <v>9</v>
      </c>
      <c r="E5" s="20" t="s">
        <v>22</v>
      </c>
      <c r="F5" s="21">
        <v>24.99</v>
      </c>
    </row>
    <row r="6" spans="1:6" x14ac:dyDescent="0.3">
      <c r="A6" t="s">
        <v>10</v>
      </c>
      <c r="B6">
        <v>79.989999999999995</v>
      </c>
      <c r="C6" t="s">
        <v>11</v>
      </c>
      <c r="E6" s="20" t="s">
        <v>50</v>
      </c>
      <c r="F6" s="21">
        <v>24.99</v>
      </c>
    </row>
    <row r="7" spans="1:6" x14ac:dyDescent="0.3">
      <c r="A7" t="s">
        <v>12</v>
      </c>
      <c r="B7">
        <v>19.989999999999998</v>
      </c>
      <c r="C7" t="s">
        <v>11</v>
      </c>
    </row>
    <row r="8" spans="1:6" x14ac:dyDescent="0.3">
      <c r="A8" t="s">
        <v>13</v>
      </c>
      <c r="B8">
        <v>44.99</v>
      </c>
      <c r="C8" t="s">
        <v>9</v>
      </c>
    </row>
    <row r="9" spans="1:6" x14ac:dyDescent="0.3">
      <c r="A9" t="s">
        <v>14</v>
      </c>
      <c r="B9">
        <v>49.99</v>
      </c>
      <c r="C9" t="s">
        <v>15</v>
      </c>
    </row>
    <row r="10" spans="1:6" x14ac:dyDescent="0.3">
      <c r="A10" t="s">
        <v>16</v>
      </c>
      <c r="B10">
        <v>19.989999999999998</v>
      </c>
      <c r="C10" t="s">
        <v>15</v>
      </c>
    </row>
    <row r="11" spans="1:6" x14ac:dyDescent="0.3">
      <c r="A11" t="s">
        <v>17</v>
      </c>
      <c r="B11">
        <v>49.99</v>
      </c>
      <c r="C11" t="s">
        <v>9</v>
      </c>
    </row>
    <row r="12" spans="1:6" x14ac:dyDescent="0.3">
      <c r="A12" t="s">
        <v>18</v>
      </c>
      <c r="B12">
        <v>59.99</v>
      </c>
      <c r="C12" t="s">
        <v>9</v>
      </c>
    </row>
    <row r="13" spans="1:6" x14ac:dyDescent="0.3">
      <c r="A13" t="s">
        <v>19</v>
      </c>
      <c r="B13">
        <v>69.989999999999995</v>
      </c>
      <c r="C13" t="s">
        <v>11</v>
      </c>
    </row>
    <row r="14" spans="1:6" x14ac:dyDescent="0.3">
      <c r="A14" t="s">
        <v>20</v>
      </c>
      <c r="B14">
        <v>59.99</v>
      </c>
      <c r="C14" t="s">
        <v>9</v>
      </c>
    </row>
    <row r="15" spans="1:6" x14ac:dyDescent="0.3">
      <c r="A15" t="s">
        <v>21</v>
      </c>
      <c r="B15">
        <v>29.99</v>
      </c>
      <c r="C15" t="s">
        <v>9</v>
      </c>
    </row>
    <row r="16" spans="1:6" x14ac:dyDescent="0.3">
      <c r="A16" t="s">
        <v>22</v>
      </c>
      <c r="B16">
        <v>24.99</v>
      </c>
      <c r="C16" t="s">
        <v>11</v>
      </c>
    </row>
    <row r="17" spans="1:9" x14ac:dyDescent="0.3">
      <c r="A17" t="s">
        <v>23</v>
      </c>
      <c r="B17">
        <v>34.99</v>
      </c>
      <c r="C17" t="s">
        <v>9</v>
      </c>
    </row>
    <row r="18" spans="1:9" x14ac:dyDescent="0.3">
      <c r="A18" t="s">
        <v>24</v>
      </c>
      <c r="B18">
        <v>129.99</v>
      </c>
      <c r="C18" t="s">
        <v>11</v>
      </c>
    </row>
    <row r="19" spans="1:9" x14ac:dyDescent="0.3">
      <c r="A19" t="s">
        <v>25</v>
      </c>
      <c r="B19">
        <v>39.99</v>
      </c>
      <c r="C19" t="s">
        <v>15</v>
      </c>
    </row>
    <row r="20" spans="1:9" x14ac:dyDescent="0.3">
      <c r="A20" t="s">
        <v>26</v>
      </c>
      <c r="B20">
        <v>29.99</v>
      </c>
      <c r="C20" t="s">
        <v>15</v>
      </c>
      <c r="H20" s="19" t="s">
        <v>49</v>
      </c>
      <c r="I20" t="s">
        <v>51</v>
      </c>
    </row>
    <row r="21" spans="1:9" x14ac:dyDescent="0.3">
      <c r="A21" t="s">
        <v>27</v>
      </c>
      <c r="B21">
        <v>79.989999999999995</v>
      </c>
      <c r="C21" t="s">
        <v>11</v>
      </c>
      <c r="H21" s="20" t="s">
        <v>11</v>
      </c>
      <c r="I21" s="21">
        <v>24.99</v>
      </c>
    </row>
    <row r="22" spans="1:9" x14ac:dyDescent="0.3">
      <c r="A22" t="s">
        <v>28</v>
      </c>
      <c r="B22">
        <v>69.989999999999995</v>
      </c>
      <c r="C22" t="s">
        <v>9</v>
      </c>
      <c r="H22" s="20" t="s">
        <v>50</v>
      </c>
      <c r="I22" s="21">
        <v>24.99</v>
      </c>
    </row>
    <row r="23" spans="1:9" x14ac:dyDescent="0.3">
      <c r="A23" t="s">
        <v>29</v>
      </c>
      <c r="B23">
        <v>89.99</v>
      </c>
      <c r="C23" t="s">
        <v>11</v>
      </c>
    </row>
    <row r="24" spans="1:9" x14ac:dyDescent="0.3">
      <c r="A24" t="s">
        <v>30</v>
      </c>
      <c r="B24">
        <v>14.99</v>
      </c>
      <c r="C24" t="s">
        <v>15</v>
      </c>
    </row>
    <row r="25" spans="1:9" x14ac:dyDescent="0.3">
      <c r="A25" t="s">
        <v>31</v>
      </c>
      <c r="B25">
        <v>109.99</v>
      </c>
      <c r="C25" t="s">
        <v>11</v>
      </c>
    </row>
    <row r="26" spans="1:9" x14ac:dyDescent="0.3">
      <c r="A26" t="s">
        <v>32</v>
      </c>
      <c r="B26">
        <v>59.99</v>
      </c>
      <c r="C26" t="s">
        <v>15</v>
      </c>
    </row>
    <row r="27" spans="1:9" x14ac:dyDescent="0.3">
      <c r="A27" t="s">
        <v>33</v>
      </c>
      <c r="B27">
        <v>49.99</v>
      </c>
      <c r="C27" t="s">
        <v>9</v>
      </c>
    </row>
    <row r="28" spans="1:9" x14ac:dyDescent="0.3">
      <c r="A28" t="s">
        <v>34</v>
      </c>
      <c r="B28">
        <v>79.989999999999995</v>
      </c>
      <c r="C28" t="s">
        <v>15</v>
      </c>
    </row>
    <row r="29" spans="1:9" x14ac:dyDescent="0.3">
      <c r="A29" t="s">
        <v>35</v>
      </c>
      <c r="B29">
        <v>24.99</v>
      </c>
      <c r="C29" t="s">
        <v>15</v>
      </c>
    </row>
    <row r="30" spans="1:9" x14ac:dyDescent="0.3">
      <c r="A30" t="s">
        <v>36</v>
      </c>
      <c r="B30">
        <v>89.99</v>
      </c>
      <c r="C30" t="s">
        <v>15</v>
      </c>
    </row>
    <row r="31" spans="1:9" x14ac:dyDescent="0.3">
      <c r="A31" t="s">
        <v>37</v>
      </c>
      <c r="B31">
        <v>59.99</v>
      </c>
      <c r="C31" t="s">
        <v>11</v>
      </c>
    </row>
    <row r="32" spans="1:9" x14ac:dyDescent="0.3">
      <c r="A32" t="s">
        <v>38</v>
      </c>
      <c r="B32">
        <v>39.99</v>
      </c>
      <c r="C32" t="s">
        <v>9</v>
      </c>
    </row>
    <row r="33" spans="1:3" x14ac:dyDescent="0.3">
      <c r="A33" t="s">
        <v>39</v>
      </c>
      <c r="B33">
        <v>69.989999999999995</v>
      </c>
      <c r="C33" t="s">
        <v>15</v>
      </c>
    </row>
    <row r="34" spans="1:3" x14ac:dyDescent="0.3">
      <c r="A34" t="s">
        <v>40</v>
      </c>
      <c r="B34">
        <v>89.99</v>
      </c>
      <c r="C34" t="s">
        <v>11</v>
      </c>
    </row>
  </sheetData>
  <mergeCells count="2">
    <mergeCell ref="A1:F1"/>
    <mergeCell ref="A2:F2"/>
  </mergeCells>
  <phoneticPr fontId="5" type="noConversion"/>
  <pageMargins left="0.511811024" right="0.511811024" top="0.78740157499999996" bottom="0.78740157499999996" header="0.31496062000000002" footer="0.3149606200000000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4A21-6772-4E58-B71F-83B4139AEE12}">
  <sheetPr codeName="Planilha3"/>
  <dimension ref="A1:F15"/>
  <sheetViews>
    <sheetView workbookViewId="0">
      <selection activeCell="B29" sqref="B29"/>
    </sheetView>
  </sheetViews>
  <sheetFormatPr defaultRowHeight="14.4" x14ac:dyDescent="0.3"/>
  <cols>
    <col min="1" max="1" width="18.33203125" customWidth="1"/>
    <col min="2" max="2" width="15.88671875" customWidth="1"/>
    <col min="3" max="3" width="29" customWidth="1"/>
    <col min="4" max="4" width="23.88671875" customWidth="1"/>
    <col min="5" max="5" width="26.5546875" customWidth="1"/>
    <col min="6" max="6" width="38.44140625" customWidth="1"/>
  </cols>
  <sheetData>
    <row r="1" spans="1:6" ht="25.8" x14ac:dyDescent="0.3">
      <c r="A1" s="18" t="s">
        <v>0</v>
      </c>
      <c r="B1" s="18"/>
      <c r="C1" s="18"/>
      <c r="D1" s="18"/>
      <c r="E1" s="18"/>
      <c r="F1" s="11"/>
    </row>
    <row r="2" spans="1:6" ht="25.8" x14ac:dyDescent="0.5">
      <c r="A2" s="17" t="s">
        <v>46</v>
      </c>
      <c r="B2" s="17"/>
      <c r="C2" s="17"/>
      <c r="D2" s="17"/>
      <c r="E2" s="17"/>
      <c r="F2" s="10"/>
    </row>
    <row r="3" spans="1:6" ht="23.4" x14ac:dyDescent="0.45">
      <c r="A3" s="1" t="s">
        <v>45</v>
      </c>
      <c r="B3" s="1" t="s">
        <v>5</v>
      </c>
      <c r="C3" s="1" t="s">
        <v>47</v>
      </c>
      <c r="D3" s="1" t="s">
        <v>7</v>
      </c>
      <c r="E3" s="1" t="s">
        <v>48</v>
      </c>
      <c r="F3" s="9"/>
    </row>
    <row r="4" spans="1:6" x14ac:dyDescent="0.3">
      <c r="A4" s="12">
        <v>45151.76829861111</v>
      </c>
      <c r="B4" s="3">
        <v>208.96700000000001</v>
      </c>
      <c r="C4" s="3">
        <v>240.31200000000001</v>
      </c>
      <c r="D4" s="3">
        <v>31.344999999999999</v>
      </c>
      <c r="E4">
        <v>3</v>
      </c>
    </row>
    <row r="5" spans="1:6" x14ac:dyDescent="0.3">
      <c r="A5" s="12">
        <v>45151.608263888891</v>
      </c>
      <c r="B5" s="3">
        <v>65.989000000000004</v>
      </c>
      <c r="C5" s="3">
        <v>75.887299999999996</v>
      </c>
      <c r="D5" s="3">
        <v>9.8983000000000008</v>
      </c>
      <c r="E5">
        <v>1</v>
      </c>
    </row>
    <row r="6" spans="1:6" x14ac:dyDescent="0.3">
      <c r="A6" s="12">
        <v>45151.607499999998</v>
      </c>
      <c r="B6" s="3">
        <v>0</v>
      </c>
      <c r="C6" s="3">
        <v>0</v>
      </c>
      <c r="D6" s="3">
        <v>0</v>
      </c>
      <c r="E6">
        <v>1</v>
      </c>
    </row>
    <row r="7" spans="1:6" x14ac:dyDescent="0.3">
      <c r="A7" s="12">
        <v>45151.606712962966</v>
      </c>
      <c r="B7" s="3">
        <v>65.989000000000004</v>
      </c>
      <c r="C7" s="3">
        <v>75.887299999999996</v>
      </c>
      <c r="D7" s="3">
        <v>9.8983000000000008</v>
      </c>
      <c r="E7">
        <v>1</v>
      </c>
    </row>
    <row r="8" spans="1:6" x14ac:dyDescent="0.3">
      <c r="A8" s="12"/>
      <c r="C8" s="3"/>
    </row>
    <row r="9" spans="1:6" x14ac:dyDescent="0.3">
      <c r="A9" s="12"/>
      <c r="C9" s="3"/>
    </row>
    <row r="10" spans="1:6" x14ac:dyDescent="0.3">
      <c r="A10" s="12"/>
      <c r="C10" s="3"/>
    </row>
    <row r="11" spans="1:6" x14ac:dyDescent="0.3">
      <c r="A11" s="12"/>
      <c r="B11" s="3"/>
      <c r="C11" s="3"/>
      <c r="D11" s="3"/>
    </row>
    <row r="12" spans="1:6" x14ac:dyDescent="0.3">
      <c r="A12" s="12"/>
      <c r="B12" s="3"/>
      <c r="C12" s="3"/>
      <c r="D12" s="3"/>
    </row>
    <row r="13" spans="1:6" x14ac:dyDescent="0.3">
      <c r="A13" s="12"/>
      <c r="B13" s="3"/>
      <c r="C13" s="3"/>
      <c r="D13" s="3"/>
    </row>
    <row r="14" spans="1:6" x14ac:dyDescent="0.3">
      <c r="A14" s="12"/>
      <c r="B14" s="3"/>
      <c r="C14" s="3"/>
      <c r="D14" s="3"/>
    </row>
    <row r="15" spans="1:6" x14ac:dyDescent="0.3">
      <c r="A15" s="12"/>
      <c r="B15" s="3"/>
      <c r="C15" s="3"/>
      <c r="D15" s="3"/>
    </row>
  </sheetData>
  <mergeCells count="2">
    <mergeCell ref="A2:E2"/>
    <mergeCell ref="A1: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6871D-B83E-43C2-A1A6-EF1D86E70C03}">
  <dimension ref="A1"/>
  <sheetViews>
    <sheetView showGridLines="0" tabSelected="1" workbookViewId="0">
      <selection activeCell="P26" sqref="P26:P2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40453-A0DB-415C-BCB8-4F55D5B66C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negocio</vt:lpstr>
      <vt:lpstr>produtos</vt:lpstr>
      <vt:lpstr>resultados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larissa Motta Carrara</cp:lastModifiedBy>
  <dcterms:created xsi:type="dcterms:W3CDTF">2023-08-11T19:13:21Z</dcterms:created>
  <dcterms:modified xsi:type="dcterms:W3CDTF">2023-08-13T21:34:41Z</dcterms:modified>
</cp:coreProperties>
</file>
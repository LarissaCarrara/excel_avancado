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aris\OneDrive\Documentos\excel_avancado\aula07\"/>
    </mc:Choice>
  </mc:AlternateContent>
  <xr:revisionPtr revIDLastSave="0" documentId="13_ncr:1_{713A83BB-DE84-4340-AE25-16233CCDE54B}" xr6:coauthVersionLast="47" xr6:coauthVersionMax="47" xr10:uidLastSave="{00000000-0000-0000-0000-000000000000}"/>
  <bookViews>
    <workbookView xWindow="-108" yWindow="-108" windowWidth="23256" windowHeight="12576" xr2:uid="{8C24B9AA-A4C0-4703-86E0-FDEA2F4E15DC}"/>
  </bookViews>
  <sheets>
    <sheet name="negocio" sheetId="1" r:id="rId1"/>
    <sheet name="produtos" sheetId="3" r:id="rId2"/>
    <sheet name="resultados" sheetId="4" r:id="rId3"/>
  </sheets>
  <definedNames>
    <definedName name="DadosExternos_1" localSheetId="1" hidden="1">produtos!$A$4:$C$34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D4" i="1" s="1"/>
  <c r="E4" i="1" s="1"/>
  <c r="F4" i="1" s="1"/>
  <c r="B5" i="1"/>
  <c r="B6" i="1"/>
  <c r="D6" i="1" s="1"/>
  <c r="E6" i="1" s="1"/>
  <c r="F6" i="1" s="1"/>
  <c r="B7" i="1"/>
  <c r="B8" i="1"/>
  <c r="D8" i="1" s="1"/>
  <c r="E8" i="1" s="1"/>
  <c r="F8" i="1" s="1"/>
  <c r="B9" i="1"/>
  <c r="B10" i="1"/>
  <c r="B11" i="1"/>
  <c r="B12" i="1"/>
  <c r="B13" i="1"/>
  <c r="B14" i="1"/>
  <c r="B15" i="1"/>
  <c r="B16" i="1"/>
  <c r="B17" i="1"/>
  <c r="B18" i="1"/>
  <c r="B19" i="1"/>
  <c r="D19" i="1" s="1"/>
  <c r="E19" i="1" s="1"/>
  <c r="F19" i="1" s="1"/>
  <c r="B20" i="1"/>
  <c r="B21" i="1"/>
  <c r="D5" i="1"/>
  <c r="E5" i="1" s="1"/>
  <c r="F5" i="1" s="1"/>
  <c r="D7" i="1"/>
  <c r="E7" i="1" s="1"/>
  <c r="F7" i="1" s="1"/>
  <c r="D9" i="1"/>
  <c r="D10" i="1"/>
  <c r="D11" i="1"/>
  <c r="D12" i="1"/>
  <c r="D13" i="1"/>
  <c r="D14" i="1"/>
  <c r="D15" i="1"/>
  <c r="D16" i="1"/>
  <c r="D17" i="1"/>
  <c r="D18" i="1"/>
  <c r="D20" i="1"/>
  <c r="D21" i="1"/>
  <c r="F26" i="1"/>
  <c r="F9" i="1"/>
  <c r="F10" i="1"/>
  <c r="F11" i="1"/>
  <c r="F12" i="1"/>
  <c r="F14" i="1"/>
  <c r="F17" i="1"/>
  <c r="F18" i="1"/>
  <c r="F20" i="1"/>
  <c r="F21" i="1"/>
  <c r="E9" i="1"/>
  <c r="E10" i="1"/>
  <c r="E11" i="1"/>
  <c r="E12" i="1"/>
  <c r="E14" i="1"/>
  <c r="E17" i="1"/>
  <c r="E18" i="1"/>
  <c r="E20" i="1"/>
  <c r="E21" i="1"/>
  <c r="E13" i="1"/>
  <c r="F13" i="1" s="1"/>
  <c r="E15" i="1"/>
  <c r="F15" i="1" s="1"/>
  <c r="E16" i="1"/>
  <c r="F16" i="1" s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4" i="1"/>
  <c r="F25" i="1" l="1"/>
  <c r="F22" i="1" l="1"/>
  <c r="F23" i="1"/>
  <c r="F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99863B-E6BF-4490-AE6E-CE3F2EA1E444}" keepAlive="1" name="Consulta - produtos" description="Conexão com a consulta 'produtos' na pasta de trabalho." type="5" refreshedVersion="8" background="1" saveData="1">
    <dbPr connection="Provider=Microsoft.Mashup.OleDb.1;Data Source=$Workbook$;Location=produtos;Extended Properties=&quot;&quot;" command="SELECT * FROM [produtos]"/>
  </connection>
</connections>
</file>

<file path=xl/sharedStrings.xml><?xml version="1.0" encoding="utf-8"?>
<sst xmlns="http://schemas.openxmlformats.org/spreadsheetml/2006/main" count="85" uniqueCount="49">
  <si>
    <t>Sistema - Registro de pedidos Loja de Roupas</t>
  </si>
  <si>
    <t>Negócios</t>
  </si>
  <si>
    <t>Produtos</t>
  </si>
  <si>
    <t>Valor</t>
  </si>
  <si>
    <t>Tipo</t>
  </si>
  <si>
    <t>Custo</t>
  </si>
  <si>
    <t>Preço</t>
  </si>
  <si>
    <t>Ganho</t>
  </si>
  <si>
    <t>Bermuda cargo</t>
  </si>
  <si>
    <t>Roupas Masculina</t>
  </si>
  <si>
    <t>Blazer de linho</t>
  </si>
  <si>
    <t>Roupas Feminina</t>
  </si>
  <si>
    <t>Blusa de alças básica</t>
  </si>
  <si>
    <t>Blusa de frio com zíper</t>
  </si>
  <si>
    <t>Bolsa tiracolo</t>
  </si>
  <si>
    <t>Acessórios</t>
  </si>
  <si>
    <t>Boné de baseball</t>
  </si>
  <si>
    <t>Calça chino slim</t>
  </si>
  <si>
    <t>Calça jeans reta</t>
  </si>
  <si>
    <t>Calça jeans skinny</t>
  </si>
  <si>
    <t>Camisa social listrada</t>
  </si>
  <si>
    <t>Camiseta básica de manga longa</t>
  </si>
  <si>
    <t>Camiseta estampada</t>
  </si>
  <si>
    <t>Camiseta polo</t>
  </si>
  <si>
    <t>Casaco de lã oversized</t>
  </si>
  <si>
    <t>Chapéu de feltro</t>
  </si>
  <si>
    <t>Cinto de couro</t>
  </si>
  <si>
    <t>Conjunto de moletom (blusa e calça)</t>
  </si>
  <si>
    <t>Jaqueta corta-vento</t>
  </si>
  <si>
    <t>Jaqueta de couro sintético</t>
  </si>
  <si>
    <t>Lenço estampado</t>
  </si>
  <si>
    <t>Macacão pantacourt</t>
  </si>
  <si>
    <t>Mochila urbana</t>
  </si>
  <si>
    <t>Moletom com capuz</t>
  </si>
  <si>
    <t>Óculos de sol aviador</t>
  </si>
  <si>
    <t>Pulseira de couro com detalhes em metal</t>
  </si>
  <si>
    <t>Relógio analógico</t>
  </si>
  <si>
    <t>Saia midi plissada</t>
  </si>
  <si>
    <t>Suéter de tricô</t>
  </si>
  <si>
    <t>Tênis casual de lona</t>
  </si>
  <si>
    <t>Vestido floral curto</t>
  </si>
  <si>
    <t>Custo Total</t>
  </si>
  <si>
    <t>Faturamento Total</t>
  </si>
  <si>
    <t>Ganho Total</t>
  </si>
  <si>
    <t>Quantidade de produtos Vendidos</t>
  </si>
  <si>
    <t>Data</t>
  </si>
  <si>
    <t>Dados</t>
  </si>
  <si>
    <t>Faturamento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</si>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</sst>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CC99"/>
      <name val="Calibri"/>
      <family val="2"/>
      <scheme val="minor"/>
    </font>
    <font>
      <sz val="18"/>
      <color rgb="FFFFCC99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4" fillId="2" borderId="0" xfId="0" applyFont="1" applyFill="1"/>
    <xf numFmtId="0" fontId="0" fillId="3" borderId="0" xfId="0" applyFill="1"/>
    <xf numFmtId="44" fontId="0" fillId="0" borderId="0" xfId="1" applyFont="1"/>
    <xf numFmtId="0" fontId="0" fillId="0" borderId="0" xfId="0" applyAlignment="1">
      <alignment horizontal="center" vertical="center"/>
    </xf>
    <xf numFmtId="44" fontId="0" fillId="3" borderId="0" xfId="0" applyNumberFormat="1" applyFill="1"/>
    <xf numFmtId="4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vertical="center"/>
    </xf>
    <xf numFmtId="14" fontId="0" fillId="3" borderId="0" xfId="0" applyNumberFormat="1" applyFill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vertical="top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top"/>
    </xf>
    <xf numFmtId="22" fontId="0" fillId="0" borderId="0" xfId="0" applyNumberFormat="1"/>
    <xf numFmtId="0" fontId="0" fillId="0" borderId="0" xfId="0" applyProtection="1">
      <protection locked="0"/>
    </xf>
  </cellXfs>
  <cellStyles count="2">
    <cellStyle name="Moeda" xfId="1" builtinId="4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66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1</xdr:row>
      <xdr:rowOff>0</xdr:rowOff>
    </xdr:from>
    <xdr:to>
      <xdr:col>9</xdr:col>
      <xdr:colOff>228599</xdr:colOff>
      <xdr:row>1</xdr:row>
      <xdr:rowOff>323850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54CBD6E0-41F8-CB70-E418-F5F34026C5E0}"/>
            </a:ext>
          </a:extLst>
        </xdr:cNvPr>
        <xdr:cNvSpPr/>
      </xdr:nvSpPr>
      <xdr:spPr>
        <a:xfrm>
          <a:off x="8943974" y="333375"/>
          <a:ext cx="1419225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 fLocksWithSheet="0"/>
  </xdr:twoCellAnchor>
  <xdr:twoCellAnchor>
    <xdr:from>
      <xdr:col>7</xdr:col>
      <xdr:colOff>28575</xdr:colOff>
      <xdr:row>2</xdr:row>
      <xdr:rowOff>171450</xdr:rowOff>
    </xdr:from>
    <xdr:to>
      <xdr:col>9</xdr:col>
      <xdr:colOff>219075</xdr:colOff>
      <xdr:row>4</xdr:row>
      <xdr:rowOff>9525</xdr:rowOff>
    </xdr:to>
    <xdr:sp macro="[0]!Registrar" textlink="">
      <xdr:nvSpPr>
        <xdr:cNvPr id="4" name="Retângulo 3">
          <a:extLst>
            <a:ext uri="{FF2B5EF4-FFF2-40B4-BE49-F238E27FC236}">
              <a16:creationId xmlns:a16="http://schemas.microsoft.com/office/drawing/2014/main" id="{9F1B2FE2-270E-4DDF-9F58-2A997FB2E742}"/>
            </a:ext>
          </a:extLst>
        </xdr:cNvPr>
        <xdr:cNvSpPr/>
      </xdr:nvSpPr>
      <xdr:spPr>
        <a:xfrm>
          <a:off x="8943975" y="838200"/>
          <a:ext cx="1409700" cy="323850"/>
        </a:xfrm>
        <a:prstGeom prst="rect">
          <a:avLst/>
        </a:prstGeom>
        <a:solidFill>
          <a:srgbClr val="9966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Registrar Resultados</a:t>
          </a:r>
        </a:p>
        <a:p>
          <a:pPr algn="l"/>
          <a:endParaRPr lang="pt-BR" sz="1100"/>
        </a:p>
      </xdr:txBody>
    </xdr:sp>
    <xdr:clientData fLock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9C69D24-6B0F-4964-8474-813BAA70356D}" autoFormatId="16" applyNumberFormats="0" applyBorderFormats="0" applyFontFormats="0" applyPatternFormats="0" applyAlignmentFormats="0" applyWidthHeightFormats="0">
  <queryTableRefresh nextId="4">
    <queryTableFields count="3">
      <queryTableField id="1" name="Produtos" tableColumnId="1"/>
      <queryTableField id="2" name="Valor" tableColumnId="2"/>
      <queryTableField id="3" name="Tip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585C77-A04A-414B-BB4F-2506811BC06C}" name="produtos" displayName="produtos" ref="A4:C34" tableType="queryTable" totalsRowShown="0">
  <autoFilter ref="A4:C34" xr:uid="{4C585C77-A04A-414B-BB4F-2506811BC06C}"/>
  <tableColumns count="3">
    <tableColumn id="1" xr3:uid="{BB661E50-0AB3-47C4-9E37-5E1FDC464862}" uniqueName="1" name="Produtos" queryTableFieldId="1" dataDxfId="1"/>
    <tableColumn id="2" xr3:uid="{B5C0E3DF-F52E-4570-AE3F-D363F5EF13C8}" uniqueName="2" name="Valor" queryTableFieldId="2"/>
    <tableColumn id="3" xr3:uid="{46107C45-33AD-48C3-9838-05972FCE874E}" uniqueName="3" name="Tipo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52DF-D32E-4AA5-88EA-72972A5E8283}">
  <sheetPr codeName="Planilha1"/>
  <dimension ref="A1:F26"/>
  <sheetViews>
    <sheetView tabSelected="1" workbookViewId="0">
      <selection activeCell="L13" sqref="L13"/>
    </sheetView>
  </sheetViews>
  <sheetFormatPr defaultRowHeight="14.4" x14ac:dyDescent="0.3"/>
  <cols>
    <col min="1" max="1" width="56" customWidth="1"/>
    <col min="2" max="2" width="9.5546875" bestFit="1" customWidth="1"/>
    <col min="3" max="3" width="20.5546875" customWidth="1"/>
    <col min="4" max="5" width="9.5546875" bestFit="1" customWidth="1"/>
    <col min="6" max="6" width="19.33203125" customWidth="1"/>
  </cols>
  <sheetData>
    <row r="1" spans="1:6" ht="25.8" x14ac:dyDescent="0.3">
      <c r="A1" s="13" t="s">
        <v>0</v>
      </c>
      <c r="B1" s="13"/>
      <c r="C1" s="13"/>
      <c r="D1" s="13"/>
      <c r="E1" s="13"/>
      <c r="F1" s="13"/>
    </row>
    <row r="2" spans="1:6" ht="25.8" x14ac:dyDescent="0.5">
      <c r="A2" s="14" t="s">
        <v>1</v>
      </c>
      <c r="B2" s="14"/>
      <c r="C2" s="14"/>
      <c r="D2" s="14"/>
      <c r="E2" s="14"/>
      <c r="F2" s="14"/>
    </row>
    <row r="3" spans="1:6" ht="23.4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18"/>
      <c r="B4" s="3" t="str">
        <f>IF(A4="","",VLOOKUP(A4,produtos[[Produtos]:[Valor]],2,0))</f>
        <v/>
      </c>
      <c r="C4" s="4" t="str">
        <f>IF(A4="", "-",VLOOKUP(A4,produtos[],3,0))</f>
        <v>-</v>
      </c>
      <c r="D4" s="6" t="str">
        <f>IF(A4="","-",(B4*10%)+B4)</f>
        <v>-</v>
      </c>
      <c r="E4" s="6" t="str">
        <f>IF(A4="","-",(D4*15%)+D4)</f>
        <v>-</v>
      </c>
      <c r="F4" s="6" t="str">
        <f>IF(A4="","-",(E4-D4))</f>
        <v>-</v>
      </c>
    </row>
    <row r="5" spans="1:6" x14ac:dyDescent="0.3">
      <c r="A5" s="18"/>
      <c r="B5" s="3" t="str">
        <f>IF(A5="","",VLOOKUP(A5,produtos[[Produtos]:[Valor]],2,0))</f>
        <v/>
      </c>
      <c r="C5" s="4" t="str">
        <f>IF(A5="", "-",VLOOKUP(A5,produtos[],3,0))</f>
        <v>-</v>
      </c>
      <c r="D5" s="6" t="str">
        <f t="shared" ref="D5:D21" si="0">IF(A5="","-",(B5*10%)+B5)</f>
        <v>-</v>
      </c>
      <c r="E5" s="6" t="str">
        <f t="shared" ref="E5:E21" si="1">IF(A5="","-",(D5*15%)+D5)</f>
        <v>-</v>
      </c>
      <c r="F5" s="6" t="str">
        <f t="shared" ref="F5:F21" si="2">IF(A5="","-",(E5-D5))</f>
        <v>-</v>
      </c>
    </row>
    <row r="6" spans="1:6" x14ac:dyDescent="0.3">
      <c r="A6" s="18"/>
      <c r="B6" s="3" t="str">
        <f>IF(A6="","",VLOOKUP(A6,produtos[[Produtos]:[Valor]],2,0))</f>
        <v/>
      </c>
      <c r="C6" s="4" t="str">
        <f>IF(A6="", "-",VLOOKUP(A6,produtos[],3,0))</f>
        <v>-</v>
      </c>
      <c r="D6" s="6" t="str">
        <f t="shared" si="0"/>
        <v>-</v>
      </c>
      <c r="E6" s="6" t="str">
        <f t="shared" si="1"/>
        <v>-</v>
      </c>
      <c r="F6" s="6" t="str">
        <f t="shared" si="2"/>
        <v>-</v>
      </c>
    </row>
    <row r="7" spans="1:6" x14ac:dyDescent="0.3">
      <c r="A7" s="18"/>
      <c r="B7" s="3" t="str">
        <f>IF(A7="","",VLOOKUP(A7,produtos[[Produtos]:[Valor]],2,0))</f>
        <v/>
      </c>
      <c r="C7" s="4" t="str">
        <f>IF(A7="", "-",VLOOKUP(A7,produtos[],3,0))</f>
        <v>-</v>
      </c>
      <c r="D7" s="6" t="str">
        <f t="shared" si="0"/>
        <v>-</v>
      </c>
      <c r="E7" s="6" t="str">
        <f t="shared" si="1"/>
        <v>-</v>
      </c>
      <c r="F7" s="6" t="str">
        <f t="shared" si="2"/>
        <v>-</v>
      </c>
    </row>
    <row r="8" spans="1:6" x14ac:dyDescent="0.3">
      <c r="A8" s="18"/>
      <c r="B8" s="3" t="str">
        <f>IF(A8="","",VLOOKUP(A8,produtos[[Produtos]:[Valor]],2,0))</f>
        <v/>
      </c>
      <c r="C8" s="4" t="str">
        <f>IF(A8="", "-",VLOOKUP(A8,produtos[],3,0))</f>
        <v>-</v>
      </c>
      <c r="D8" s="6" t="str">
        <f t="shared" si="0"/>
        <v>-</v>
      </c>
      <c r="E8" s="6" t="str">
        <f t="shared" si="1"/>
        <v>-</v>
      </c>
      <c r="F8" s="6" t="str">
        <f t="shared" si="2"/>
        <v>-</v>
      </c>
    </row>
    <row r="9" spans="1:6" x14ac:dyDescent="0.3">
      <c r="A9" s="18"/>
      <c r="B9" s="3" t="str">
        <f>IF(A9="","",VLOOKUP(A9,produtos[[Produtos]:[Valor]],2,0))</f>
        <v/>
      </c>
      <c r="C9" s="4" t="str">
        <f>IF(A9="", "-",VLOOKUP(A9,produtos[],3,0))</f>
        <v>-</v>
      </c>
      <c r="D9" s="6" t="str">
        <f t="shared" si="0"/>
        <v>-</v>
      </c>
      <c r="E9" s="6" t="str">
        <f t="shared" si="1"/>
        <v>-</v>
      </c>
      <c r="F9" s="6" t="str">
        <f t="shared" si="2"/>
        <v>-</v>
      </c>
    </row>
    <row r="10" spans="1:6" x14ac:dyDescent="0.3">
      <c r="A10" s="18"/>
      <c r="B10" s="3" t="str">
        <f>IF(A10="","",VLOOKUP(A10,produtos[[Produtos]:[Valor]],2,0))</f>
        <v/>
      </c>
      <c r="C10" s="4" t="str">
        <f>IF(A10="", "-",VLOOKUP(A10,produtos[],3,0))</f>
        <v>-</v>
      </c>
      <c r="D10" s="6" t="str">
        <f t="shared" si="0"/>
        <v>-</v>
      </c>
      <c r="E10" s="6" t="str">
        <f t="shared" si="1"/>
        <v>-</v>
      </c>
      <c r="F10" s="6" t="str">
        <f t="shared" si="2"/>
        <v>-</v>
      </c>
    </row>
    <row r="11" spans="1:6" x14ac:dyDescent="0.3">
      <c r="A11" s="18"/>
      <c r="B11" s="3" t="str">
        <f>IF(A11="","",VLOOKUP(A11,produtos[[Produtos]:[Valor]],2,0))</f>
        <v/>
      </c>
      <c r="C11" s="4" t="str">
        <f>IF(A11="", "-",VLOOKUP(A11,produtos[],3,0))</f>
        <v>-</v>
      </c>
      <c r="D11" s="6" t="str">
        <f t="shared" si="0"/>
        <v>-</v>
      </c>
      <c r="E11" s="6" t="str">
        <f t="shared" si="1"/>
        <v>-</v>
      </c>
      <c r="F11" s="6" t="str">
        <f t="shared" si="2"/>
        <v>-</v>
      </c>
    </row>
    <row r="12" spans="1:6" x14ac:dyDescent="0.3">
      <c r="A12" s="18"/>
      <c r="B12" s="3" t="str">
        <f>IF(A12="","",VLOOKUP(A12,produtos[[Produtos]:[Valor]],2,0))</f>
        <v/>
      </c>
      <c r="C12" s="4" t="str">
        <f>IF(A12="", "-",VLOOKUP(A12,produtos[],3,0))</f>
        <v>-</v>
      </c>
      <c r="D12" s="6" t="str">
        <f t="shared" si="0"/>
        <v>-</v>
      </c>
      <c r="E12" s="6" t="str">
        <f t="shared" si="1"/>
        <v>-</v>
      </c>
      <c r="F12" s="6" t="str">
        <f t="shared" si="2"/>
        <v>-</v>
      </c>
    </row>
    <row r="13" spans="1:6" x14ac:dyDescent="0.3">
      <c r="A13" s="18"/>
      <c r="B13" s="3" t="str">
        <f>IF(A13="","",VLOOKUP(A13,produtos[[Produtos]:[Valor]],2,0))</f>
        <v/>
      </c>
      <c r="C13" s="4" t="str">
        <f>IF(A13="", "-",VLOOKUP(A13,produtos[],3,0))</f>
        <v>-</v>
      </c>
      <c r="D13" s="6" t="str">
        <f t="shared" si="0"/>
        <v>-</v>
      </c>
      <c r="E13" s="6" t="str">
        <f t="shared" si="1"/>
        <v>-</v>
      </c>
      <c r="F13" s="6" t="str">
        <f t="shared" si="2"/>
        <v>-</v>
      </c>
    </row>
    <row r="14" spans="1:6" x14ac:dyDescent="0.3">
      <c r="A14" s="18"/>
      <c r="B14" s="3" t="str">
        <f>IF(A14="","",VLOOKUP(A14,produtos[[Produtos]:[Valor]],2,0))</f>
        <v/>
      </c>
      <c r="C14" s="4" t="str">
        <f>IF(A14="", "-",VLOOKUP(A14,produtos[],3,0))</f>
        <v>-</v>
      </c>
      <c r="D14" s="6" t="str">
        <f t="shared" si="0"/>
        <v>-</v>
      </c>
      <c r="E14" s="6" t="str">
        <f t="shared" si="1"/>
        <v>-</v>
      </c>
      <c r="F14" s="6" t="str">
        <f t="shared" si="2"/>
        <v>-</v>
      </c>
    </row>
    <row r="15" spans="1:6" x14ac:dyDescent="0.3">
      <c r="A15" s="18"/>
      <c r="B15" s="3" t="str">
        <f>IF(A15="","",VLOOKUP(A15,produtos[[Produtos]:[Valor]],2,0))</f>
        <v/>
      </c>
      <c r="C15" s="4" t="str">
        <f>IF(A15="", "-",VLOOKUP(A15,produtos[],3,0))</f>
        <v>-</v>
      </c>
      <c r="D15" s="6" t="str">
        <f t="shared" si="0"/>
        <v>-</v>
      </c>
      <c r="E15" s="6" t="str">
        <f t="shared" si="1"/>
        <v>-</v>
      </c>
      <c r="F15" s="6" t="str">
        <f t="shared" si="2"/>
        <v>-</v>
      </c>
    </row>
    <row r="16" spans="1:6" x14ac:dyDescent="0.3">
      <c r="A16" s="18"/>
      <c r="B16" s="3" t="str">
        <f>IF(A16="","",VLOOKUP(A16,produtos[[Produtos]:[Valor]],2,0))</f>
        <v/>
      </c>
      <c r="C16" s="4" t="str">
        <f>IF(A16="", "-",VLOOKUP(A16,produtos[],3,0))</f>
        <v>-</v>
      </c>
      <c r="D16" s="6" t="str">
        <f t="shared" si="0"/>
        <v>-</v>
      </c>
      <c r="E16" s="7" t="str">
        <f t="shared" si="1"/>
        <v>-</v>
      </c>
      <c r="F16" s="7" t="str">
        <f t="shared" si="2"/>
        <v>-</v>
      </c>
    </row>
    <row r="17" spans="1:6" x14ac:dyDescent="0.3">
      <c r="A17" s="18"/>
      <c r="B17" s="3" t="str">
        <f>IF(A17="","",VLOOKUP(A17,produtos[[Produtos]:[Valor]],2,0))</f>
        <v/>
      </c>
      <c r="C17" s="4" t="str">
        <f>IF(A17="", "-",VLOOKUP(A17,produtos[],3,0))</f>
        <v>-</v>
      </c>
      <c r="D17" s="6" t="str">
        <f t="shared" si="0"/>
        <v>-</v>
      </c>
      <c r="E17" s="6" t="str">
        <f t="shared" si="1"/>
        <v>-</v>
      </c>
      <c r="F17" s="6" t="str">
        <f t="shared" si="2"/>
        <v>-</v>
      </c>
    </row>
    <row r="18" spans="1:6" x14ac:dyDescent="0.3">
      <c r="A18" s="18"/>
      <c r="B18" s="3" t="str">
        <f>IF(A18="","",VLOOKUP(A18,produtos[[Produtos]:[Valor]],2,0))</f>
        <v/>
      </c>
      <c r="C18" s="4" t="str">
        <f>IF(A18="", "-",VLOOKUP(A18,produtos[],3,0))</f>
        <v>-</v>
      </c>
      <c r="D18" s="6" t="str">
        <f t="shared" si="0"/>
        <v>-</v>
      </c>
      <c r="E18" s="6" t="str">
        <f t="shared" si="1"/>
        <v>-</v>
      </c>
      <c r="F18" s="6" t="str">
        <f t="shared" si="2"/>
        <v>-</v>
      </c>
    </row>
    <row r="19" spans="1:6" x14ac:dyDescent="0.3">
      <c r="A19" s="18"/>
      <c r="B19" s="3" t="str">
        <f>IF(A19="","",VLOOKUP(A19,produtos[[Produtos]:[Valor]],2,0))</f>
        <v/>
      </c>
      <c r="C19" s="4" t="str">
        <f>IF(A19="", "-",VLOOKUP(A19,produtos[],3,0))</f>
        <v>-</v>
      </c>
      <c r="D19" s="6" t="str">
        <f t="shared" si="0"/>
        <v>-</v>
      </c>
      <c r="E19" s="6" t="str">
        <f t="shared" si="1"/>
        <v>-</v>
      </c>
      <c r="F19" s="6" t="str">
        <f t="shared" si="2"/>
        <v>-</v>
      </c>
    </row>
    <row r="20" spans="1:6" x14ac:dyDescent="0.3">
      <c r="A20" s="18"/>
      <c r="B20" s="3" t="str">
        <f>IF(A20="","",VLOOKUP(A20,produtos[[Produtos]:[Valor]],2,0))</f>
        <v/>
      </c>
      <c r="C20" s="4" t="str">
        <f>IF(A20="", "-",VLOOKUP(A20,produtos[],3,0))</f>
        <v>-</v>
      </c>
      <c r="D20" s="6" t="str">
        <f t="shared" si="0"/>
        <v>-</v>
      </c>
      <c r="E20" s="6" t="str">
        <f t="shared" si="1"/>
        <v>-</v>
      </c>
      <c r="F20" s="6" t="str">
        <f t="shared" si="2"/>
        <v>-</v>
      </c>
    </row>
    <row r="21" spans="1:6" x14ac:dyDescent="0.3">
      <c r="A21" s="18"/>
      <c r="B21" s="3" t="str">
        <f>IF(A21="","",VLOOKUP(A21,produtos[[Produtos]:[Valor]],2,0))</f>
        <v/>
      </c>
      <c r="C21" s="4" t="str">
        <f>IF(A21="", "-",VLOOKUP(A21,produtos[],3,0))</f>
        <v>-</v>
      </c>
      <c r="D21" s="6" t="str">
        <f t="shared" si="0"/>
        <v>-</v>
      </c>
      <c r="E21" s="6" t="str">
        <f t="shared" si="1"/>
        <v>-</v>
      </c>
      <c r="F21" s="6" t="str">
        <f t="shared" si="2"/>
        <v>-</v>
      </c>
    </row>
    <row r="22" spans="1:6" x14ac:dyDescent="0.3">
      <c r="A22" s="12" t="s">
        <v>41</v>
      </c>
      <c r="B22" s="12"/>
      <c r="C22" s="12"/>
      <c r="D22" s="12"/>
      <c r="E22" s="12"/>
      <c r="F22" s="5">
        <f>SUM(D4:D21)</f>
        <v>0</v>
      </c>
    </row>
    <row r="23" spans="1:6" x14ac:dyDescent="0.3">
      <c r="A23" s="12" t="s">
        <v>42</v>
      </c>
      <c r="B23" s="12"/>
      <c r="C23" s="12"/>
      <c r="D23" s="12"/>
      <c r="E23" s="12"/>
      <c r="F23" s="5">
        <f>SUM(E4:E21)</f>
        <v>0</v>
      </c>
    </row>
    <row r="24" spans="1:6" x14ac:dyDescent="0.3">
      <c r="A24" s="12" t="s">
        <v>43</v>
      </c>
      <c r="B24" s="12"/>
      <c r="C24" s="12"/>
      <c r="D24" s="12"/>
      <c r="E24" s="12"/>
      <c r="F24" s="5">
        <f>SUM(F4:F21)</f>
        <v>0</v>
      </c>
    </row>
    <row r="25" spans="1:6" x14ac:dyDescent="0.3">
      <c r="A25" s="12" t="s">
        <v>44</v>
      </c>
      <c r="B25" s="12"/>
      <c r="C25" s="12"/>
      <c r="D25" s="12"/>
      <c r="E25" s="12"/>
      <c r="F25" s="2">
        <f>COUNT(B4:B21)</f>
        <v>0</v>
      </c>
    </row>
    <row r="26" spans="1:6" x14ac:dyDescent="0.3">
      <c r="A26" s="12" t="s">
        <v>45</v>
      </c>
      <c r="B26" s="12"/>
      <c r="C26" s="12"/>
      <c r="D26" s="12"/>
      <c r="E26" s="12"/>
      <c r="F26" s="8">
        <f ca="1">TODAY()</f>
        <v>45151</v>
      </c>
    </row>
  </sheetData>
  <sheetProtection sheet="1" objects="1" scenarios="1"/>
  <mergeCells count="7">
    <mergeCell ref="A26:E26"/>
    <mergeCell ref="A1:F1"/>
    <mergeCell ref="A2:F2"/>
    <mergeCell ref="A22:E22"/>
    <mergeCell ref="A23:E23"/>
    <mergeCell ref="A24:E24"/>
    <mergeCell ref="A25:E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9CEE75-1E8E-4A9D-A146-A4501A56321D}">
          <x14:formula1>
            <xm:f>produtos!$A$5:$A$34</xm:f>
          </x14:formula1>
          <xm:sqref>A4:A21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EDDB-23FB-420A-8A08-5E37B47BB93E}">
  <sheetPr codeName="Planilha2"/>
  <dimension ref="A1:F34"/>
  <sheetViews>
    <sheetView workbookViewId="0">
      <selection activeCell="D25" sqref="D25"/>
    </sheetView>
  </sheetViews>
  <sheetFormatPr defaultRowHeight="14.4" x14ac:dyDescent="0.3"/>
  <cols>
    <col min="1" max="1" width="38.44140625" bestFit="1" customWidth="1"/>
    <col min="2" max="2" width="11.44140625" customWidth="1"/>
    <col min="3" max="3" width="20.6640625" customWidth="1"/>
    <col min="4" max="4" width="11.5546875" customWidth="1"/>
    <col min="6" max="6" width="17" customWidth="1"/>
  </cols>
  <sheetData>
    <row r="1" spans="1:6" ht="25.8" x14ac:dyDescent="0.3">
      <c r="A1" s="13" t="s">
        <v>0</v>
      </c>
      <c r="B1" s="13"/>
      <c r="C1" s="13"/>
      <c r="D1" s="13"/>
      <c r="E1" s="13"/>
      <c r="F1" s="13"/>
    </row>
    <row r="2" spans="1:6" ht="25.8" x14ac:dyDescent="0.5">
      <c r="A2" s="14" t="s">
        <v>1</v>
      </c>
      <c r="B2" s="14"/>
      <c r="C2" s="14"/>
      <c r="D2" s="14"/>
      <c r="E2" s="14"/>
      <c r="F2" s="14"/>
    </row>
    <row r="4" spans="1:6" x14ac:dyDescent="0.3">
      <c r="A4" t="s">
        <v>2</v>
      </c>
      <c r="B4" t="s">
        <v>3</v>
      </c>
      <c r="C4" t="s">
        <v>4</v>
      </c>
    </row>
    <row r="5" spans="1:6" x14ac:dyDescent="0.3">
      <c r="A5" t="s">
        <v>8</v>
      </c>
      <c r="B5">
        <v>39.99</v>
      </c>
      <c r="C5" t="s">
        <v>9</v>
      </c>
    </row>
    <row r="6" spans="1:6" x14ac:dyDescent="0.3">
      <c r="A6" t="s">
        <v>10</v>
      </c>
      <c r="B6">
        <v>79.989999999999995</v>
      </c>
      <c r="C6" t="s">
        <v>11</v>
      </c>
    </row>
    <row r="7" spans="1:6" x14ac:dyDescent="0.3">
      <c r="A7" t="s">
        <v>12</v>
      </c>
      <c r="B7">
        <v>19.989999999999998</v>
      </c>
      <c r="C7" t="s">
        <v>11</v>
      </c>
    </row>
    <row r="8" spans="1:6" x14ac:dyDescent="0.3">
      <c r="A8" t="s">
        <v>13</v>
      </c>
      <c r="B8">
        <v>44.99</v>
      </c>
      <c r="C8" t="s">
        <v>9</v>
      </c>
    </row>
    <row r="9" spans="1:6" x14ac:dyDescent="0.3">
      <c r="A9" t="s">
        <v>14</v>
      </c>
      <c r="B9">
        <v>49.99</v>
      </c>
      <c r="C9" t="s">
        <v>15</v>
      </c>
    </row>
    <row r="10" spans="1:6" x14ac:dyDescent="0.3">
      <c r="A10" t="s">
        <v>16</v>
      </c>
      <c r="B10">
        <v>19.989999999999998</v>
      </c>
      <c r="C10" t="s">
        <v>15</v>
      </c>
    </row>
    <row r="11" spans="1:6" x14ac:dyDescent="0.3">
      <c r="A11" t="s">
        <v>17</v>
      </c>
      <c r="B11">
        <v>49.99</v>
      </c>
      <c r="C11" t="s">
        <v>9</v>
      </c>
    </row>
    <row r="12" spans="1:6" x14ac:dyDescent="0.3">
      <c r="A12" t="s">
        <v>18</v>
      </c>
      <c r="B12">
        <v>59.99</v>
      </c>
      <c r="C12" t="s">
        <v>9</v>
      </c>
    </row>
    <row r="13" spans="1:6" x14ac:dyDescent="0.3">
      <c r="A13" t="s">
        <v>19</v>
      </c>
      <c r="B13">
        <v>69.989999999999995</v>
      </c>
      <c r="C13" t="s">
        <v>11</v>
      </c>
    </row>
    <row r="14" spans="1:6" x14ac:dyDescent="0.3">
      <c r="A14" t="s">
        <v>20</v>
      </c>
      <c r="B14">
        <v>59.99</v>
      </c>
      <c r="C14" t="s">
        <v>9</v>
      </c>
    </row>
    <row r="15" spans="1:6" x14ac:dyDescent="0.3">
      <c r="A15" t="s">
        <v>21</v>
      </c>
      <c r="B15">
        <v>29.99</v>
      </c>
      <c r="C15" t="s">
        <v>9</v>
      </c>
    </row>
    <row r="16" spans="1:6" x14ac:dyDescent="0.3">
      <c r="A16" t="s">
        <v>22</v>
      </c>
      <c r="B16">
        <v>24.99</v>
      </c>
      <c r="C16" t="s">
        <v>11</v>
      </c>
    </row>
    <row r="17" spans="1:3" x14ac:dyDescent="0.3">
      <c r="A17" t="s">
        <v>23</v>
      </c>
      <c r="B17">
        <v>34.99</v>
      </c>
      <c r="C17" t="s">
        <v>9</v>
      </c>
    </row>
    <row r="18" spans="1:3" x14ac:dyDescent="0.3">
      <c r="A18" t="s">
        <v>24</v>
      </c>
      <c r="B18">
        <v>129.99</v>
      </c>
      <c r="C18" t="s">
        <v>11</v>
      </c>
    </row>
    <row r="19" spans="1:3" x14ac:dyDescent="0.3">
      <c r="A19" t="s">
        <v>25</v>
      </c>
      <c r="B19">
        <v>39.99</v>
      </c>
      <c r="C19" t="s">
        <v>15</v>
      </c>
    </row>
    <row r="20" spans="1:3" x14ac:dyDescent="0.3">
      <c r="A20" t="s">
        <v>26</v>
      </c>
      <c r="B20">
        <v>29.99</v>
      </c>
      <c r="C20" t="s">
        <v>15</v>
      </c>
    </row>
    <row r="21" spans="1:3" x14ac:dyDescent="0.3">
      <c r="A21" t="s">
        <v>27</v>
      </c>
      <c r="B21">
        <v>79.989999999999995</v>
      </c>
      <c r="C21" t="s">
        <v>11</v>
      </c>
    </row>
    <row r="22" spans="1:3" x14ac:dyDescent="0.3">
      <c r="A22" t="s">
        <v>28</v>
      </c>
      <c r="B22">
        <v>69.989999999999995</v>
      </c>
      <c r="C22" t="s">
        <v>9</v>
      </c>
    </row>
    <row r="23" spans="1:3" x14ac:dyDescent="0.3">
      <c r="A23" t="s">
        <v>29</v>
      </c>
      <c r="B23">
        <v>89.99</v>
      </c>
      <c r="C23" t="s">
        <v>11</v>
      </c>
    </row>
    <row r="24" spans="1:3" x14ac:dyDescent="0.3">
      <c r="A24" t="s">
        <v>30</v>
      </c>
      <c r="B24">
        <v>14.99</v>
      </c>
      <c r="C24" t="s">
        <v>15</v>
      </c>
    </row>
    <row r="25" spans="1:3" x14ac:dyDescent="0.3">
      <c r="A25" t="s">
        <v>31</v>
      </c>
      <c r="B25">
        <v>109.99</v>
      </c>
      <c r="C25" t="s">
        <v>11</v>
      </c>
    </row>
    <row r="26" spans="1:3" x14ac:dyDescent="0.3">
      <c r="A26" t="s">
        <v>32</v>
      </c>
      <c r="B26">
        <v>59.99</v>
      </c>
      <c r="C26" t="s">
        <v>15</v>
      </c>
    </row>
    <row r="27" spans="1:3" x14ac:dyDescent="0.3">
      <c r="A27" t="s">
        <v>33</v>
      </c>
      <c r="B27">
        <v>49.99</v>
      </c>
      <c r="C27" t="s">
        <v>9</v>
      </c>
    </row>
    <row r="28" spans="1:3" x14ac:dyDescent="0.3">
      <c r="A28" t="s">
        <v>34</v>
      </c>
      <c r="B28">
        <v>79.989999999999995</v>
      </c>
      <c r="C28" t="s">
        <v>15</v>
      </c>
    </row>
    <row r="29" spans="1:3" x14ac:dyDescent="0.3">
      <c r="A29" t="s">
        <v>35</v>
      </c>
      <c r="B29">
        <v>24.99</v>
      </c>
      <c r="C29" t="s">
        <v>15</v>
      </c>
    </row>
    <row r="30" spans="1:3" x14ac:dyDescent="0.3">
      <c r="A30" t="s">
        <v>36</v>
      </c>
      <c r="B30">
        <v>89.99</v>
      </c>
      <c r="C30" t="s">
        <v>15</v>
      </c>
    </row>
    <row r="31" spans="1:3" x14ac:dyDescent="0.3">
      <c r="A31" t="s">
        <v>37</v>
      </c>
      <c r="B31">
        <v>59.99</v>
      </c>
      <c r="C31" t="s">
        <v>11</v>
      </c>
    </row>
    <row r="32" spans="1:3" x14ac:dyDescent="0.3">
      <c r="A32" t="s">
        <v>38</v>
      </c>
      <c r="B32">
        <v>39.99</v>
      </c>
      <c r="C32" t="s">
        <v>9</v>
      </c>
    </row>
    <row r="33" spans="1:3" x14ac:dyDescent="0.3">
      <c r="A33" t="s">
        <v>39</v>
      </c>
      <c r="B33">
        <v>69.989999999999995</v>
      </c>
      <c r="C33" t="s">
        <v>15</v>
      </c>
    </row>
    <row r="34" spans="1:3" x14ac:dyDescent="0.3">
      <c r="A34" t="s">
        <v>40</v>
      </c>
      <c r="B34">
        <v>89.99</v>
      </c>
      <c r="C34" t="s">
        <v>11</v>
      </c>
    </row>
  </sheetData>
  <mergeCells count="2">
    <mergeCell ref="A1:F1"/>
    <mergeCell ref="A2:F2"/>
  </mergeCells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4A21-6772-4E58-B71F-83B4139AEE12}">
  <sheetPr codeName="Planilha3"/>
  <dimension ref="A1:F14"/>
  <sheetViews>
    <sheetView workbookViewId="0">
      <selection activeCell="D4" sqref="D4"/>
    </sheetView>
  </sheetViews>
  <sheetFormatPr defaultRowHeight="14.4" x14ac:dyDescent="0.3"/>
  <cols>
    <col min="1" max="1" width="18.33203125" customWidth="1"/>
    <col min="2" max="2" width="15.88671875" customWidth="1"/>
    <col min="3" max="3" width="29" customWidth="1"/>
    <col min="4" max="4" width="23.88671875" customWidth="1"/>
    <col min="5" max="5" width="26.5546875" customWidth="1"/>
    <col min="6" max="6" width="38.44140625" customWidth="1"/>
  </cols>
  <sheetData>
    <row r="1" spans="1:6" ht="25.8" x14ac:dyDescent="0.3">
      <c r="A1" s="16" t="s">
        <v>0</v>
      </c>
      <c r="B1" s="16"/>
      <c r="C1" s="16"/>
      <c r="D1" s="16"/>
      <c r="E1" s="16"/>
      <c r="F1" s="11"/>
    </row>
    <row r="2" spans="1:6" ht="25.8" x14ac:dyDescent="0.5">
      <c r="A2" s="15" t="s">
        <v>46</v>
      </c>
      <c r="B2" s="15"/>
      <c r="C2" s="15"/>
      <c r="D2" s="15"/>
      <c r="E2" s="15"/>
      <c r="F2" s="10"/>
    </row>
    <row r="3" spans="1:6" ht="23.4" x14ac:dyDescent="0.45">
      <c r="A3" s="1" t="s">
        <v>45</v>
      </c>
      <c r="B3" s="1" t="s">
        <v>5</v>
      </c>
      <c r="C3" s="1" t="s">
        <v>47</v>
      </c>
      <c r="D3" s="1" t="s">
        <v>7</v>
      </c>
      <c r="E3" s="1" t="s">
        <v>48</v>
      </c>
      <c r="F3" s="9"/>
    </row>
    <row r="4" spans="1:6" x14ac:dyDescent="0.3">
      <c r="A4" s="17">
        <v>45151.608263888891</v>
      </c>
      <c r="B4" s="3">
        <v>65.989000000000004</v>
      </c>
      <c r="C4" s="3">
        <v>75.887299999999996</v>
      </c>
      <c r="D4" s="3">
        <v>9.8983000000000008</v>
      </c>
      <c r="E4">
        <v>1</v>
      </c>
    </row>
    <row r="5" spans="1:6" x14ac:dyDescent="0.3">
      <c r="A5" s="17">
        <v>45151.607499999998</v>
      </c>
      <c r="B5" s="3">
        <v>0</v>
      </c>
      <c r="C5" s="3">
        <v>0</v>
      </c>
      <c r="D5" s="3">
        <v>0</v>
      </c>
      <c r="E5">
        <v>1</v>
      </c>
    </row>
    <row r="6" spans="1:6" x14ac:dyDescent="0.3">
      <c r="A6" s="17">
        <v>45151.606712962966</v>
      </c>
      <c r="B6" s="3">
        <v>65.989000000000004</v>
      </c>
      <c r="C6" s="3">
        <v>75.887299999999996</v>
      </c>
      <c r="D6" s="3">
        <v>9.8983000000000008</v>
      </c>
      <c r="E6">
        <v>1</v>
      </c>
    </row>
    <row r="7" spans="1:6" x14ac:dyDescent="0.3">
      <c r="A7" s="17"/>
      <c r="C7" s="3"/>
    </row>
    <row r="8" spans="1:6" x14ac:dyDescent="0.3">
      <c r="A8" s="17"/>
      <c r="C8" s="3"/>
    </row>
    <row r="9" spans="1:6" x14ac:dyDescent="0.3">
      <c r="A9" s="17"/>
      <c r="C9" s="3"/>
    </row>
    <row r="10" spans="1:6" x14ac:dyDescent="0.3">
      <c r="A10" s="17"/>
      <c r="B10" s="3"/>
      <c r="C10" s="3"/>
      <c r="D10" s="3"/>
    </row>
    <row r="11" spans="1:6" x14ac:dyDescent="0.3">
      <c r="A11" s="17"/>
      <c r="B11" s="3"/>
      <c r="C11" s="3"/>
      <c r="D11" s="3"/>
    </row>
    <row r="12" spans="1:6" x14ac:dyDescent="0.3">
      <c r="A12" s="17"/>
      <c r="B12" s="3"/>
      <c r="C12" s="3"/>
      <c r="D12" s="3"/>
    </row>
    <row r="13" spans="1:6" x14ac:dyDescent="0.3">
      <c r="A13" s="17"/>
      <c r="B13" s="3"/>
      <c r="C13" s="3"/>
      <c r="D13" s="3"/>
    </row>
    <row r="14" spans="1:6" x14ac:dyDescent="0.3">
      <c r="A14" s="17"/>
      <c r="B14" s="3"/>
      <c r="C14" s="3"/>
      <c r="D14" s="3"/>
    </row>
  </sheetData>
  <mergeCells count="2">
    <mergeCell ref="A2:E2"/>
    <mergeCell ref="A1:E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40453-A0DB-415C-BCB8-4F55D5B66C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negocio</vt:lpstr>
      <vt:lpstr>produtos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larissa Motta Carrara</cp:lastModifiedBy>
  <dcterms:created xsi:type="dcterms:W3CDTF">2023-08-11T19:13:21Z</dcterms:created>
  <dcterms:modified xsi:type="dcterms:W3CDTF">2023-08-13T17:41:47Z</dcterms:modified>
</cp:coreProperties>
</file>
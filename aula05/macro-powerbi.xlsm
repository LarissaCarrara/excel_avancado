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s\Documents\excel_avancado\aula05\"/>
    </mc:Choice>
  </mc:AlternateContent>
  <xr:revisionPtr revIDLastSave="0" documentId="13_ncr:1_{C900068A-034A-4A44-A739-3B2D75B4659F}" xr6:coauthVersionLast="47" xr6:coauthVersionMax="47" xr10:uidLastSave="{00000000-0000-0000-0000-000000000000}"/>
  <bookViews>
    <workbookView xWindow="-28920" yWindow="5835" windowWidth="29040" windowHeight="15840" activeTab="5" xr2:uid="{DC85D09C-27BA-4235-96CD-618791A878EB}"/>
  </bookViews>
  <sheets>
    <sheet name="Planilha1" sheetId="1" r:id="rId1"/>
    <sheet name="cardapio" sheetId="5" r:id="rId2"/>
    <sheet name="comanda" sheetId="6" r:id="rId3"/>
    <sheet name="dados" sheetId="7" r:id="rId4"/>
    <sheet name="dados (2)" sheetId="12" r:id="rId5"/>
    <sheet name="dashboard" sheetId="9" r:id="rId6"/>
  </sheets>
  <functionGroups builtInGroupCount="19"/>
  <definedNames>
    <definedName name="DadosExternos_1" localSheetId="4" hidden="1">'dados (2)'!$A$1:$D$153</definedName>
    <definedName name="NativeTimeline_Quando">#N/A</definedName>
    <definedName name="SegmentaçãodeDados_Funcionário">#N/A</definedName>
    <definedName name="SegmentaçãodeDados_Tipo">#N/A</definedName>
    <definedName name="SegmentaçãodeDados_Valor">#N/A</definedName>
  </definedNames>
  <calcPr calcId="191029"/>
  <pivotCaches>
    <pivotCache cacheId="13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6" l="1"/>
  <c r="D4" i="6" s="1"/>
  <c r="C5" i="6"/>
  <c r="D5" i="6" s="1"/>
  <c r="C6" i="6"/>
  <c r="D6" i="6" s="1"/>
  <c r="C7" i="6"/>
  <c r="D7" i="6" s="1"/>
  <c r="C9" i="6"/>
  <c r="D9" i="6" s="1"/>
  <c r="C10" i="6"/>
  <c r="D10" i="6" s="1"/>
  <c r="C11" i="6"/>
  <c r="D11" i="6" s="1"/>
  <c r="C12" i="6"/>
  <c r="D12" i="6" s="1"/>
  <c r="C13" i="6"/>
  <c r="D13" i="6" s="1"/>
  <c r="C14" i="6"/>
  <c r="D14" i="6" s="1"/>
  <c r="C15" i="6"/>
  <c r="D15" i="6" s="1"/>
  <c r="C8" i="6"/>
  <c r="D8" i="6" s="1"/>
  <c r="A9" i="1"/>
  <c r="A8" i="1"/>
  <c r="A10" i="1"/>
  <c r="A11" i="1"/>
  <c r="D16" i="6" l="1"/>
  <c r="D18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68531A-7AD5-483E-B284-5517AB294D4D}" keepAlive="1" name="Consulta - dados" description="Conexão com a consulta 'dados' na pasta de trabalho." type="5" refreshedVersion="0" background="1">
    <dbPr connection="Provider=Microsoft.Mashup.OleDb.1;Data Source=$Workbook$;Location=dados;Extended Properties=&quot;&quot;" command="SELECT * FROM [dados]"/>
  </connection>
  <connection id="2" xr16:uid="{82001389-673F-4C16-97B4-E18E38FA92C7}" keepAlive="1" name="Consulta - dados (2)" description="Conexão com a consulta 'dados (2)' na pasta de trabalho." type="5" refreshedVersion="8" background="1" saveData="1">
    <dbPr connection="Provider=Microsoft.Mashup.OleDb.1;Data Source=$Workbook$;Location=&quot;dados (2)&quot;;Extended Properties=&quot;&quot;" command="SELECT * FROM [dados (2)]"/>
  </connection>
</connections>
</file>

<file path=xl/sharedStrings.xml><?xml version="1.0" encoding="utf-8"?>
<sst xmlns="http://schemas.openxmlformats.org/spreadsheetml/2006/main" count="381" uniqueCount="49">
  <si>
    <t>Cardápio</t>
  </si>
  <si>
    <t>Produto</t>
  </si>
  <si>
    <t>Coxinha de Frango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</si>
  <si>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</si>
  <si>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</si>
  <si>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</si>
  <si>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</si>
  <si>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</si>
  <si>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</si>
  <si>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Pastel Silmples</t>
  </si>
  <si>
    <t>Pastel Especial</t>
  </si>
  <si>
    <t>Espeto de Frango</t>
  </si>
  <si>
    <t>Salgado Assado (Diersos)</t>
  </si>
  <si>
    <t>Pão de queijo</t>
  </si>
  <si>
    <t>Pão de queijo recheado</t>
  </si>
  <si>
    <t>Sobremesa Simples</t>
  </si>
  <si>
    <t>Sobremesa especial</t>
  </si>
  <si>
    <t>Refrigerante Lata</t>
  </si>
  <si>
    <t>Refrigerante KS</t>
  </si>
  <si>
    <t>Suco natural</t>
  </si>
  <si>
    <t>Suco máquina</t>
  </si>
  <si>
    <t>Preço</t>
  </si>
  <si>
    <t xml:space="preserve"> Coxinha de Frango m. Batata</t>
  </si>
  <si>
    <t>-</t>
  </si>
  <si>
    <t>Funcionários</t>
  </si>
  <si>
    <t>Arnaldo Antunes</t>
  </si>
  <si>
    <t>Marcelo Silva</t>
  </si>
  <si>
    <t>Mariana Lima</t>
  </si>
  <si>
    <t>Comanda</t>
  </si>
  <si>
    <t>Quantidade</t>
  </si>
  <si>
    <t>Subtotal</t>
  </si>
  <si>
    <t>Total</t>
  </si>
  <si>
    <t>Funcionário</t>
  </si>
  <si>
    <t>Troco</t>
  </si>
  <si>
    <t>Dinheiro</t>
  </si>
  <si>
    <t>c</t>
  </si>
  <si>
    <t>Caixa</t>
  </si>
  <si>
    <t>Quando</t>
  </si>
  <si>
    <t>Valor</t>
  </si>
  <si>
    <t>Tipo</t>
  </si>
  <si>
    <t>Dinhiero</t>
  </si>
  <si>
    <t>Cartão</t>
  </si>
  <si>
    <t>Rótulos de Linha</t>
  </si>
  <si>
    <t>Total Geral</t>
  </si>
  <si>
    <t>Soma de Valor</t>
  </si>
  <si>
    <t>06/ago</t>
  </si>
  <si>
    <t>08/ago</t>
  </si>
  <si>
    <t>Relatório de pedidos - Comandas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</si>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</sst>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22">
    <xf numFmtId="0" fontId="0" fillId="0" borderId="0" xfId="0"/>
    <xf numFmtId="14" fontId="0" fillId="0" borderId="0" xfId="0" applyNumberFormat="1"/>
    <xf numFmtId="44" fontId="0" fillId="0" borderId="0" xfId="1" applyFont="1"/>
    <xf numFmtId="0" fontId="1" fillId="4" borderId="0" xfId="4"/>
    <xf numFmtId="0" fontId="1" fillId="3" borderId="0" xfId="3"/>
    <xf numFmtId="22" fontId="0" fillId="0" borderId="0" xfId="0" applyNumberFormat="1"/>
    <xf numFmtId="0" fontId="1" fillId="2" borderId="0" xfId="2"/>
    <xf numFmtId="44" fontId="1" fillId="2" borderId="0" xfId="2" applyNumberFormat="1"/>
    <xf numFmtId="0" fontId="1" fillId="2" borderId="0" xfId="2" applyAlignment="1">
      <alignment horizontal="center" vertical="center"/>
    </xf>
    <xf numFmtId="0" fontId="1" fillId="3" borderId="0" xfId="3" applyBorder="1"/>
    <xf numFmtId="22" fontId="1" fillId="2" borderId="0" xfId="2" applyNumberFormat="1"/>
    <xf numFmtId="44" fontId="1" fillId="2" borderId="0" xfId="1" applyFill="1"/>
    <xf numFmtId="44" fontId="1" fillId="3" borderId="0" xfId="3" applyNumberFormat="1" applyBorder="1"/>
    <xf numFmtId="0" fontId="0" fillId="0" borderId="0" xfId="0" applyProtection="1">
      <protection locked="0"/>
    </xf>
    <xf numFmtId="0" fontId="1" fillId="2" borderId="0" xfId="2" applyProtection="1">
      <protection locked="0"/>
    </xf>
    <xf numFmtId="0" fontId="1" fillId="4" borderId="0" xfId="4" applyAlignment="1">
      <alignment horizontal="center"/>
    </xf>
    <xf numFmtId="0" fontId="2" fillId="4" borderId="0" xfId="4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5" borderId="0" xfId="5"/>
    <xf numFmtId="0" fontId="3" fillId="5" borderId="0" xfId="5" applyFont="1"/>
  </cellXfs>
  <cellStyles count="6">
    <cellStyle name="20% - Ênfase6" xfId="2" builtinId="50"/>
    <cellStyle name="40% - Ênfase6" xfId="3" builtinId="51"/>
    <cellStyle name="60% - Ênfase5" xfId="5" builtinId="48"/>
    <cellStyle name="60% - Ênfase6" xfId="4" builtinId="52"/>
    <cellStyle name="Moeda" xfId="1" builtinId="4"/>
    <cellStyle name="Normal" xfId="0" builtinId="0"/>
  </cellStyles>
  <dxfs count="3">
    <dxf>
      <numFmt numFmtId="0" formatCode="General"/>
    </dxf>
    <dxf>
      <numFmt numFmtId="27" formatCode="dd/mm/yyyy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[macro-powerbi.xlsm]dados (2)!Tabela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(2)'!$H$2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'dados (2)'!$G$3:$G$5</c:f>
              <c:strCache>
                <c:ptCount val="2"/>
                <c:pt idx="0">
                  <c:v>Arnaldo Antunes</c:v>
                </c:pt>
                <c:pt idx="1">
                  <c:v>Mariana Lima</c:v>
                </c:pt>
              </c:strCache>
            </c:strRef>
          </c:cat>
          <c:val>
            <c:numRef>
              <c:f>'dados (2)'!$H$3:$H$5</c:f>
              <c:numCache>
                <c:formatCode>General</c:formatCode>
                <c:ptCount val="2"/>
                <c:pt idx="0">
                  <c:v>36</c:v>
                </c:pt>
                <c:pt idx="1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2-4701-B56E-89304FE13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2745216"/>
        <c:axId val="472743776"/>
      </c:barChart>
      <c:catAx>
        <c:axId val="47274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2743776"/>
        <c:crosses val="autoZero"/>
        <c:auto val="1"/>
        <c:lblAlgn val="ctr"/>
        <c:lblOffset val="100"/>
        <c:noMultiLvlLbl val="0"/>
      </c:catAx>
      <c:valAx>
        <c:axId val="47274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274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[macro-powerbi.xlsm]dados (2)!Tabela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728426338012093E-2"/>
          <c:y val="0.30495151647710705"/>
          <c:w val="0.80058938719616568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(2)'!$S$2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'dados (2)'!$R$3:$R$5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'dados (2)'!$S$3:$S$5</c:f>
              <c:numCache>
                <c:formatCode>General</c:formatCode>
                <c:ptCount val="2"/>
                <c:pt idx="0">
                  <c:v>108</c:v>
                </c:pt>
                <c:pt idx="1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0F-496B-A196-A5BEEF867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591824"/>
        <c:axId val="276593624"/>
      </c:barChart>
      <c:catAx>
        <c:axId val="27659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593624"/>
        <c:crosses val="autoZero"/>
        <c:auto val="1"/>
        <c:lblAlgn val="ctr"/>
        <c:lblOffset val="100"/>
        <c:noMultiLvlLbl val="0"/>
      </c:catAx>
      <c:valAx>
        <c:axId val="27659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59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[macro-powerbi.xlsm]dados (2)!Tabela dinâmica4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(2)'!$H$25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'dados (2)'!$G$26:$G$28</c:f>
              <c:strCache>
                <c:ptCount val="2"/>
                <c:pt idx="0">
                  <c:v>06/ago</c:v>
                </c:pt>
                <c:pt idx="1">
                  <c:v>08/ago</c:v>
                </c:pt>
              </c:strCache>
            </c:strRef>
          </c:cat>
          <c:val>
            <c:numRef>
              <c:f>'dados (2)'!$H$26:$H$28</c:f>
              <c:numCache>
                <c:formatCode>General</c:formatCode>
                <c:ptCount val="2"/>
                <c:pt idx="0">
                  <c:v>36</c:v>
                </c:pt>
                <c:pt idx="1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98-4784-8C7C-A6D2E6685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6831680"/>
        <c:axId val="986832040"/>
      </c:barChart>
      <c:catAx>
        <c:axId val="98683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6832040"/>
        <c:crosses val="autoZero"/>
        <c:auto val="1"/>
        <c:lblAlgn val="ctr"/>
        <c:lblOffset val="100"/>
        <c:noMultiLvlLbl val="0"/>
      </c:catAx>
      <c:valAx>
        <c:axId val="98683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683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[macro-powerbi.xlsm]dados (2)!Tabela dinâmica2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(2)'!$H$2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'dados (2)'!$G$3:$G$5</c:f>
              <c:strCache>
                <c:ptCount val="2"/>
                <c:pt idx="0">
                  <c:v>Arnaldo Antunes</c:v>
                </c:pt>
                <c:pt idx="1">
                  <c:v>Mariana Lima</c:v>
                </c:pt>
              </c:strCache>
            </c:strRef>
          </c:cat>
          <c:val>
            <c:numRef>
              <c:f>'dados (2)'!$H$3:$H$5</c:f>
              <c:numCache>
                <c:formatCode>General</c:formatCode>
                <c:ptCount val="2"/>
                <c:pt idx="0">
                  <c:v>36</c:v>
                </c:pt>
                <c:pt idx="1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E-4212-821A-82691343B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2745216"/>
        <c:axId val="472743776"/>
      </c:barChart>
      <c:catAx>
        <c:axId val="47274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2743776"/>
        <c:crosses val="autoZero"/>
        <c:auto val="1"/>
        <c:lblAlgn val="ctr"/>
        <c:lblOffset val="100"/>
        <c:noMultiLvlLbl val="0"/>
      </c:catAx>
      <c:valAx>
        <c:axId val="47274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274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[macro-powerbi.xlsm]dados (2)!Tabela dinâmica3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728426338012093E-2"/>
          <c:y val="0.30495151647710705"/>
          <c:w val="0.80058938719616568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(2)'!$S$2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'dados (2)'!$R$3:$R$5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'dados (2)'!$S$3:$S$5</c:f>
              <c:numCache>
                <c:formatCode>General</c:formatCode>
                <c:ptCount val="2"/>
                <c:pt idx="0">
                  <c:v>108</c:v>
                </c:pt>
                <c:pt idx="1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98-48DA-BE1C-397D1F3C3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591824"/>
        <c:axId val="276593624"/>
      </c:barChart>
      <c:catAx>
        <c:axId val="27659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593624"/>
        <c:crosses val="autoZero"/>
        <c:auto val="1"/>
        <c:lblAlgn val="ctr"/>
        <c:lblOffset val="100"/>
        <c:noMultiLvlLbl val="0"/>
      </c:catAx>
      <c:valAx>
        <c:axId val="27659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59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[macro-powerbi.xlsm]dados (2)!Tabela dinâmica4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(2)'!$H$25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'dados (2)'!$G$26:$G$28</c:f>
              <c:strCache>
                <c:ptCount val="2"/>
                <c:pt idx="0">
                  <c:v>06/ago</c:v>
                </c:pt>
                <c:pt idx="1">
                  <c:v>08/ago</c:v>
                </c:pt>
              </c:strCache>
            </c:strRef>
          </c:cat>
          <c:val>
            <c:numRef>
              <c:f>'dados (2)'!$H$26:$H$28</c:f>
              <c:numCache>
                <c:formatCode>General</c:formatCode>
                <c:ptCount val="2"/>
                <c:pt idx="0">
                  <c:v>36</c:v>
                </c:pt>
                <c:pt idx="1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8-40FA-AC40-A2142C8D8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6831680"/>
        <c:axId val="986832040"/>
      </c:barChart>
      <c:catAx>
        <c:axId val="98683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6832040"/>
        <c:crosses val="autoZero"/>
        <c:auto val="1"/>
        <c:lblAlgn val="ctr"/>
        <c:lblOffset val="100"/>
        <c:noMultiLvlLbl val="0"/>
      </c:catAx>
      <c:valAx>
        <c:axId val="98683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683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21771</xdr:colOff>
      <xdr:row>2</xdr:row>
      <xdr:rowOff>65314</xdr:rowOff>
    </xdr:from>
    <xdr:to>
      <xdr:col>4</xdr:col>
      <xdr:colOff>527957</xdr:colOff>
      <xdr:row>4</xdr:row>
      <xdr:rowOff>146957</xdr:rowOff>
    </xdr:to>
    <xdr:sp macro="[0]!Macro1" textlink="">
      <xdr:nvSpPr>
        <xdr:cNvPr id="2" name="Pentágono 1">
          <a:extLst>
            <a:ext uri="{FF2B5EF4-FFF2-40B4-BE49-F238E27FC236}">
              <a16:creationId xmlns:a16="http://schemas.microsoft.com/office/drawing/2014/main" id="{BB6886B9-B842-2ABA-2C58-9362A0E319A2}"/>
            </a:ext>
          </a:extLst>
        </xdr:cNvPr>
        <xdr:cNvSpPr/>
      </xdr:nvSpPr>
      <xdr:spPr>
        <a:xfrm>
          <a:off x="2460171" y="446314"/>
          <a:ext cx="506186" cy="462643"/>
        </a:xfrm>
        <a:prstGeom prst="pent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oi</a:t>
          </a:r>
        </a:p>
      </xdr:txBody>
    </xdr:sp>
    <xdr:clientData/>
  </xdr:twoCellAnchor>
  <xdr:twoCellAnchor>
    <xdr:from>
      <xdr:col>5</xdr:col>
      <xdr:colOff>364671</xdr:colOff>
      <xdr:row>2</xdr:row>
      <xdr:rowOff>5443</xdr:rowOff>
    </xdr:from>
    <xdr:to>
      <xdr:col>7</xdr:col>
      <xdr:colOff>70756</xdr:colOff>
      <xdr:row>5</xdr:row>
      <xdr:rowOff>27214</xdr:rowOff>
    </xdr:to>
    <xdr:sp macro="[0]!Macro2" textlink="">
      <xdr:nvSpPr>
        <xdr:cNvPr id="3" name="Hexágono 2">
          <a:extLst>
            <a:ext uri="{FF2B5EF4-FFF2-40B4-BE49-F238E27FC236}">
              <a16:creationId xmlns:a16="http://schemas.microsoft.com/office/drawing/2014/main" id="{0B94FCF7-BF16-5D4D-0601-935FF53E3480}"/>
            </a:ext>
          </a:extLst>
        </xdr:cNvPr>
        <xdr:cNvSpPr/>
      </xdr:nvSpPr>
      <xdr:spPr>
        <a:xfrm>
          <a:off x="3412671" y="386443"/>
          <a:ext cx="925285" cy="593271"/>
        </a:xfrm>
        <a:prstGeom prst="hex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</a:t>
          </a:r>
        </a:p>
        <a:p>
          <a:pPr algn="ctr"/>
          <a:endParaRPr lang="pt-BR" sz="1100"/>
        </a:p>
      </xdr:txBody>
    </xdr:sp>
    <xdr:clientData/>
  </xdr:twoCellAnchor>
  <xdr:twoCellAnchor>
    <xdr:from>
      <xdr:col>7</xdr:col>
      <xdr:colOff>500743</xdr:colOff>
      <xdr:row>2</xdr:row>
      <xdr:rowOff>32657</xdr:rowOff>
    </xdr:from>
    <xdr:to>
      <xdr:col>9</xdr:col>
      <xdr:colOff>429986</xdr:colOff>
      <xdr:row>5</xdr:row>
      <xdr:rowOff>174171</xdr:rowOff>
    </xdr:to>
    <xdr:sp macro="[0]!verificaCelula" textlink="">
      <xdr:nvSpPr>
        <xdr:cNvPr id="4" name="Losango 3">
          <a:extLst>
            <a:ext uri="{FF2B5EF4-FFF2-40B4-BE49-F238E27FC236}">
              <a16:creationId xmlns:a16="http://schemas.microsoft.com/office/drawing/2014/main" id="{F857E6B2-2A37-ACB1-6F31-30B7A943F8A1}"/>
            </a:ext>
          </a:extLst>
        </xdr:cNvPr>
        <xdr:cNvSpPr/>
      </xdr:nvSpPr>
      <xdr:spPr>
        <a:xfrm>
          <a:off x="4904014" y="413657"/>
          <a:ext cx="1148443" cy="713014"/>
        </a:xfrm>
        <a:prstGeom prst="diamon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teste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9525</xdr:rowOff>
    </xdr:from>
    <xdr:to>
      <xdr:col>6</xdr:col>
      <xdr:colOff>590550</xdr:colOff>
      <xdr:row>3</xdr:row>
      <xdr:rowOff>180975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A3774E62-BFC3-4B8D-AB25-1358DD03D17B}"/>
            </a:ext>
          </a:extLst>
        </xdr:cNvPr>
        <xdr:cNvSpPr/>
      </xdr:nvSpPr>
      <xdr:spPr>
        <a:xfrm>
          <a:off x="11182350" y="390525"/>
          <a:ext cx="1200150" cy="3619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</a:t>
          </a:r>
        </a:p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590550</xdr:colOff>
      <xdr:row>6</xdr:row>
      <xdr:rowOff>171450</xdr:rowOff>
    </xdr:to>
    <xdr:sp macro="[0]!dinheiro" textlink="">
      <xdr:nvSpPr>
        <xdr:cNvPr id="3" name="Retângulo 2">
          <a:extLst>
            <a:ext uri="{FF2B5EF4-FFF2-40B4-BE49-F238E27FC236}">
              <a16:creationId xmlns:a16="http://schemas.microsoft.com/office/drawing/2014/main" id="{E6D78977-1F98-4577-8E34-24C9975CAE7E}"/>
            </a:ext>
          </a:extLst>
        </xdr:cNvPr>
        <xdr:cNvSpPr/>
      </xdr:nvSpPr>
      <xdr:spPr>
        <a:xfrm>
          <a:off x="11182350" y="952500"/>
          <a:ext cx="1200150" cy="3619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Dinheiro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590550</xdr:colOff>
      <xdr:row>9</xdr:row>
      <xdr:rowOff>171450</xdr:rowOff>
    </xdr:to>
    <xdr:sp macro="[0]!cartao" textlink="">
      <xdr:nvSpPr>
        <xdr:cNvPr id="4" name="Retângulo 3">
          <a:extLst>
            <a:ext uri="{FF2B5EF4-FFF2-40B4-BE49-F238E27FC236}">
              <a16:creationId xmlns:a16="http://schemas.microsoft.com/office/drawing/2014/main" id="{031ABBE4-DC00-485B-ACA7-AAECF054F9EF}"/>
            </a:ext>
          </a:extLst>
        </xdr:cNvPr>
        <xdr:cNvSpPr/>
      </xdr:nvSpPr>
      <xdr:spPr>
        <a:xfrm>
          <a:off x="11182350" y="1524000"/>
          <a:ext cx="1200150" cy="3619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Cartão</a:t>
          </a:r>
        </a:p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7</xdr:row>
      <xdr:rowOff>71437</xdr:rowOff>
    </xdr:from>
    <xdr:to>
      <xdr:col>13</xdr:col>
      <xdr:colOff>276225</xdr:colOff>
      <xdr:row>21</xdr:row>
      <xdr:rowOff>147637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1E61B2-7ADC-C2FC-D023-C008500A95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514350</xdr:colOff>
      <xdr:row>7</xdr:row>
      <xdr:rowOff>80962</xdr:rowOff>
    </xdr:from>
    <xdr:to>
      <xdr:col>22</xdr:col>
      <xdr:colOff>209550</xdr:colOff>
      <xdr:row>21</xdr:row>
      <xdr:rowOff>157162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53020A-A7BD-E3A7-9AC7-F9746D2A8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542925</xdr:colOff>
      <xdr:row>32</xdr:row>
      <xdr:rowOff>14287</xdr:rowOff>
    </xdr:from>
    <xdr:to>
      <xdr:col>10</xdr:col>
      <xdr:colOff>257175</xdr:colOff>
      <xdr:row>46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F4A63E-81F9-3FE2-229D-F0210276D3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4</xdr:col>
      <xdr:colOff>295275</xdr:colOff>
      <xdr:row>16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6B32B58-1381-4F94-B6BD-105E3536DE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14</xdr:col>
      <xdr:colOff>600075</xdr:colOff>
      <xdr:row>16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D93568-62A1-4F42-AC53-8D6A344371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28575</xdr:rowOff>
    </xdr:from>
    <xdr:to>
      <xdr:col>1</xdr:col>
      <xdr:colOff>1419225</xdr:colOff>
      <xdr:row>34</xdr:row>
      <xdr:rowOff>104775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56CF8C3-C6C3-4059-A5A2-3D8EFDC3C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57150</xdr:colOff>
      <xdr:row>20</xdr:row>
      <xdr:rowOff>57150</xdr:rowOff>
    </xdr:from>
    <xdr:to>
      <xdr:col>5</xdr:col>
      <xdr:colOff>57150</xdr:colOff>
      <xdr:row>33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Funcionário">
              <a:extLst>
                <a:ext uri="{FF2B5EF4-FFF2-40B4-BE49-F238E27FC236}">
                  <a16:creationId xmlns:a16="http://schemas.microsoft.com/office/drawing/2014/main" id="{BC5923BD-DD12-F8FC-8632-B53CCBCE34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cionár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24425" y="3943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238125</xdr:colOff>
      <xdr:row>20</xdr:row>
      <xdr:rowOff>57150</xdr:rowOff>
    </xdr:from>
    <xdr:to>
      <xdr:col>8</xdr:col>
      <xdr:colOff>238125</xdr:colOff>
      <xdr:row>33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Valor">
              <a:extLst>
                <a:ext uri="{FF2B5EF4-FFF2-40B4-BE49-F238E27FC236}">
                  <a16:creationId xmlns:a16="http://schemas.microsoft.com/office/drawing/2014/main" id="{94840DAD-928D-B935-843F-996A753C34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34200" y="3943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361950</xdr:colOff>
      <xdr:row>20</xdr:row>
      <xdr:rowOff>28575</xdr:rowOff>
    </xdr:from>
    <xdr:to>
      <xdr:col>11</xdr:col>
      <xdr:colOff>361950</xdr:colOff>
      <xdr:row>33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Tipo">
              <a:extLst>
                <a:ext uri="{FF2B5EF4-FFF2-40B4-BE49-F238E27FC236}">
                  <a16:creationId xmlns:a16="http://schemas.microsoft.com/office/drawing/2014/main" id="{14360441-0C93-2D2A-2F8C-43FD2B36CE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86825" y="3914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571500</xdr:colOff>
      <xdr:row>20</xdr:row>
      <xdr:rowOff>28575</xdr:rowOff>
    </xdr:from>
    <xdr:to>
      <xdr:col>17</xdr:col>
      <xdr:colOff>247650</xdr:colOff>
      <xdr:row>27</xdr:row>
      <xdr:rowOff>66675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2" name="Quando">
              <a:extLst>
                <a:ext uri="{FF2B5EF4-FFF2-40B4-BE49-F238E27FC236}">
                  <a16:creationId xmlns:a16="http://schemas.microsoft.com/office/drawing/2014/main" id="{FF55FD6C-C2C0-1608-10BF-036F86A36F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Quan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25175" y="39147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" refreshedDate="45149.629143171296" createdVersion="8" refreshedVersion="8" minRefreshableVersion="3" recordCount="152" xr:uid="{3970E116-638E-4DE7-9623-65CC40403B14}">
  <cacheSource type="worksheet">
    <worksheetSource name="dados__2"/>
  </cacheSource>
  <cacheFields count="7">
    <cacheField name="Funcionário" numFmtId="0">
      <sharedItems count="3">
        <s v="Arnaldo Antunes"/>
        <s v="Mariana Lima"/>
        <s v="Marcelo Silva"/>
      </sharedItems>
    </cacheField>
    <cacheField name="Quando" numFmtId="22">
      <sharedItems containsSemiMixedTypes="0" containsNonDate="0" containsDate="1" containsString="0" minDate="2023-08-06T14:32:00" maxDate="2023-08-09T19:00:00" count="140">
        <d v="2023-08-09T19:00:00"/>
        <d v="2023-08-09T18:37:00"/>
        <d v="2023-08-09T18:27:00"/>
        <d v="2023-08-09T17:42:00"/>
        <d v="2023-08-09T17:39:00"/>
        <d v="2023-08-09T17:21:00"/>
        <d v="2023-08-09T17:11:00"/>
        <d v="2023-08-09T17:05:00"/>
        <d v="2023-08-09T16:53:00"/>
        <d v="2023-08-09T16:50:00"/>
        <d v="2023-08-09T16:30:00"/>
        <d v="2023-08-09T16:14:00"/>
        <d v="2023-08-09T15:41:00"/>
        <d v="2023-08-09T15:38:00"/>
        <d v="2023-08-09T15:36:00"/>
        <d v="2023-08-09T15:31:00"/>
        <d v="2023-08-09T15:24:00"/>
        <d v="2023-08-09T15:23:00"/>
        <d v="2023-08-09T15:15:00"/>
        <d v="2023-08-09T14:26:00"/>
        <d v="2023-08-08T19:12:00"/>
        <d v="2023-08-08T19:03:00"/>
        <d v="2023-08-08T19:00:00"/>
        <d v="2023-08-08T18:59:00"/>
        <d v="2023-08-08T18:56:00"/>
        <d v="2023-08-08T18:50:00"/>
        <d v="2023-08-08T18:40:00"/>
        <d v="2023-08-08T18:37:00"/>
        <d v="2023-08-08T18:31:00"/>
        <d v="2023-08-08T18:28:00"/>
        <d v="2023-08-08T18:23:00"/>
        <d v="2023-08-08T18:21:00"/>
        <d v="2023-08-08T18:17:00"/>
        <d v="2023-08-08T18:12:00"/>
        <d v="2023-08-08T18:10:00"/>
        <d v="2023-08-08T18:08:00"/>
        <d v="2023-08-08T18:05:00"/>
        <d v="2023-08-08T18:00:00"/>
        <d v="2023-08-08T17:58:00"/>
        <d v="2023-08-08T17:57:00"/>
        <d v="2023-08-08T17:51:00"/>
        <d v="2023-08-08T17:49:00"/>
        <d v="2023-08-08T17:45:00"/>
        <d v="2023-08-08T17:38:00"/>
        <d v="2023-08-08T17:36:00"/>
        <d v="2023-08-08T17:18:00"/>
        <d v="2023-08-08T17:13:00"/>
        <d v="2023-08-08T17:05:00"/>
        <d v="2023-08-08T16:55:00"/>
        <d v="2023-08-08T16:52:00"/>
        <d v="2023-08-08T16:50:00"/>
        <d v="2023-08-08T16:49:00"/>
        <d v="2023-08-08T16:29:00"/>
        <d v="2023-08-08T16:27:00"/>
        <d v="2023-08-08T16:22:00"/>
        <d v="2023-08-08T16:19:00"/>
        <d v="2023-08-08T16:09:00"/>
        <d v="2023-08-08T16:07:00"/>
        <d v="2023-08-08T15:54:00"/>
        <d v="2023-08-08T15:48:00"/>
        <d v="2023-08-08T15:47:00"/>
        <d v="2023-08-08T15:46:00"/>
        <d v="2023-08-08T15:43:00"/>
        <d v="2023-08-08T15:41:00"/>
        <d v="2023-08-08T15:36:00"/>
        <d v="2023-08-08T15:31:00"/>
        <d v="2023-08-08T15:30:00"/>
        <d v="2023-08-08T15:27:00"/>
        <d v="2023-08-08T15:24:00"/>
        <d v="2023-08-08T15:15:00"/>
        <d v="2023-08-08T15:11:00"/>
        <d v="2023-08-08T15:08:00"/>
        <d v="2023-08-08T15:05:00"/>
        <d v="2023-08-08T15:04:00"/>
        <d v="2023-08-08T14:57:00"/>
        <d v="2023-08-08T14:55:00"/>
        <d v="2023-08-08T14:47:00"/>
        <d v="2023-08-08T14:45:00"/>
        <d v="2023-08-08T14:44:00"/>
        <d v="2023-08-08T14:42:00"/>
        <d v="2023-08-08T14:41:00"/>
        <d v="2023-08-08T14:39:00"/>
        <d v="2023-08-08T14:29:00"/>
        <d v="2023-08-08T14:28:00"/>
        <d v="2023-08-08T14:25:00"/>
        <d v="2023-08-07T18:53:00"/>
        <d v="2023-08-07T18:10:00"/>
        <d v="2023-08-07T17:47:00"/>
        <d v="2023-08-07T17:38:00"/>
        <d v="2023-08-07T17:08:00"/>
        <d v="2023-08-07T16:30:00"/>
        <d v="2023-08-07T16:13:00"/>
        <d v="2023-08-07T16:10:00"/>
        <d v="2023-08-07T16:07:00"/>
        <d v="2023-08-07T16:00:00"/>
        <d v="2023-08-07T15:59:00"/>
        <d v="2023-08-07T15:56:00"/>
        <d v="2023-08-07T15:53:00"/>
        <d v="2023-08-07T15:07:00"/>
        <d v="2023-08-07T15:01:00"/>
        <d v="2023-08-07T14:49:00"/>
        <d v="2023-08-07T14:48:00"/>
        <d v="2023-08-07T14:44:00"/>
        <d v="2023-08-07T14:38:00"/>
        <d v="2023-08-07T14:35:00"/>
        <d v="2023-08-07T14:28:00"/>
        <d v="2023-08-07T14:26:00"/>
        <d v="2023-08-06T19:07:00"/>
        <d v="2023-08-06T19:03:00"/>
        <d v="2023-08-06T18:54:00"/>
        <d v="2023-08-06T18:44:00"/>
        <d v="2023-08-06T18:41:00"/>
        <d v="2023-08-06T18:27:00"/>
        <d v="2023-08-06T18:02:00"/>
        <d v="2023-08-06T17:52:00"/>
        <d v="2023-08-06T17:39:00"/>
        <d v="2023-08-06T17:38:00"/>
        <d v="2023-08-06T17:31:00"/>
        <d v="2023-08-06T17:24:00"/>
        <d v="2023-08-06T17:16:00"/>
        <d v="2023-08-06T17:13:00"/>
        <d v="2023-08-06T17:06:00"/>
        <d v="2023-08-06T16:56:00"/>
        <d v="2023-08-06T16:52:00"/>
        <d v="2023-08-06T16:49:00"/>
        <d v="2023-08-06T16:39:00"/>
        <d v="2023-08-06T16:29:00"/>
        <d v="2023-08-06T16:09:00"/>
        <d v="2023-08-06T16:06:00"/>
        <d v="2023-08-06T15:50:00"/>
        <d v="2023-08-06T15:48:00"/>
        <d v="2023-08-06T15:38:00"/>
        <d v="2023-08-06T15:28:00"/>
        <d v="2023-08-06T15:12:00"/>
        <d v="2023-08-06T15:07:00"/>
        <d v="2023-08-06T14:57:00"/>
        <d v="2023-08-06T14:55:00"/>
        <d v="2023-08-06T14:38:00"/>
        <d v="2023-08-06T14:34:00"/>
        <d v="2023-08-06T14:32:00"/>
      </sharedItems>
      <fieldGroup par="6"/>
    </cacheField>
    <cacheField name="Valor" numFmtId="0">
      <sharedItems containsSemiMixedTypes="0" containsString="0" containsNumber="1" minValue="12" maxValue="141" count="59">
        <n v="27"/>
        <n v="12"/>
        <n v="39"/>
        <n v="60"/>
        <n v="78"/>
        <n v="33"/>
        <n v="87"/>
        <n v="45"/>
        <n v="141"/>
        <n v="14"/>
        <n v="72"/>
        <n v="42"/>
        <n v="30"/>
        <n v="24"/>
        <n v="75"/>
        <n v="96"/>
        <n v="51"/>
        <n v="35.5"/>
        <n v="41"/>
        <n v="52"/>
        <n v="62.5"/>
        <n v="67"/>
        <n v="36"/>
        <n v="37"/>
        <n v="48"/>
        <n v="15.5"/>
        <n v="62"/>
        <n v="99"/>
        <n v="41.5"/>
        <n v="57"/>
        <n v="30.5"/>
        <n v="108"/>
        <n v="21"/>
        <n v="111"/>
        <n v="47.5"/>
        <n v="54"/>
        <n v="93"/>
        <n v="114"/>
        <n v="102"/>
        <n v="40.5"/>
        <n v="67.5"/>
        <n v="55.5"/>
        <n v="84"/>
        <n v="47"/>
        <n v="45.5"/>
        <n v="50.5"/>
        <n v="42.5"/>
        <n v="57.5"/>
        <n v="31"/>
        <n v="52.5"/>
        <n v="26"/>
        <n v="72.5"/>
        <n v="56.5"/>
        <n v="61.5"/>
        <n v="46.5"/>
        <n v="20.5"/>
        <n v="36.5"/>
        <n v="26.5"/>
        <n v="56"/>
      </sharedItems>
    </cacheField>
    <cacheField name="Tipo" numFmtId="0">
      <sharedItems count="2">
        <s v="Cartão"/>
        <s v="Dinheiro"/>
      </sharedItems>
    </cacheField>
    <cacheField name="Minutos (Quando)" numFmtId="0" databaseField="0">
      <fieldGroup base="1">
        <rangePr groupBy="minutes" startDate="2023-08-06T14:32:00" endDate="2023-08-09T19:00:00"/>
        <groupItems count="62">
          <s v="&lt;06/08/2023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9/08/2023"/>
        </groupItems>
      </fieldGroup>
    </cacheField>
    <cacheField name="Horas (Quando)" numFmtId="0" databaseField="0">
      <fieldGroup base="1">
        <rangePr groupBy="hours" startDate="2023-08-06T14:32:00" endDate="2023-08-09T19:00:00"/>
        <groupItems count="26">
          <s v="&lt;06/08/2023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9/08/2023"/>
        </groupItems>
      </fieldGroup>
    </cacheField>
    <cacheField name="Dias (Quando)" numFmtId="0" databaseField="0">
      <fieldGroup base="1">
        <rangePr groupBy="days" startDate="2023-08-06T14:32:00" endDate="2023-08-09T19:00:00"/>
        <groupItems count="368">
          <s v="&lt;06/08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9/08/2023"/>
        </groupItems>
      </fieldGroup>
    </cacheField>
  </cacheFields>
  <extLst>
    <ext xmlns:x14="http://schemas.microsoft.com/office/spreadsheetml/2009/9/main" uri="{725AE2AE-9491-48be-B2B4-4EB974FC3084}">
      <x14:pivotCacheDefinition pivotCacheId="20895695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x v="0"/>
    <x v="0"/>
    <x v="0"/>
  </r>
  <r>
    <x v="0"/>
    <x v="1"/>
    <x v="1"/>
    <x v="1"/>
  </r>
  <r>
    <x v="0"/>
    <x v="2"/>
    <x v="2"/>
    <x v="1"/>
  </r>
  <r>
    <x v="0"/>
    <x v="3"/>
    <x v="3"/>
    <x v="1"/>
  </r>
  <r>
    <x v="0"/>
    <x v="4"/>
    <x v="4"/>
    <x v="0"/>
  </r>
  <r>
    <x v="0"/>
    <x v="5"/>
    <x v="5"/>
    <x v="1"/>
  </r>
  <r>
    <x v="0"/>
    <x v="6"/>
    <x v="6"/>
    <x v="0"/>
  </r>
  <r>
    <x v="0"/>
    <x v="7"/>
    <x v="6"/>
    <x v="0"/>
  </r>
  <r>
    <x v="0"/>
    <x v="8"/>
    <x v="7"/>
    <x v="0"/>
  </r>
  <r>
    <x v="0"/>
    <x v="9"/>
    <x v="8"/>
    <x v="0"/>
  </r>
  <r>
    <x v="0"/>
    <x v="10"/>
    <x v="9"/>
    <x v="0"/>
  </r>
  <r>
    <x v="0"/>
    <x v="11"/>
    <x v="7"/>
    <x v="0"/>
  </r>
  <r>
    <x v="0"/>
    <x v="12"/>
    <x v="10"/>
    <x v="0"/>
  </r>
  <r>
    <x v="0"/>
    <x v="13"/>
    <x v="11"/>
    <x v="0"/>
  </r>
  <r>
    <x v="0"/>
    <x v="14"/>
    <x v="11"/>
    <x v="0"/>
  </r>
  <r>
    <x v="0"/>
    <x v="15"/>
    <x v="12"/>
    <x v="1"/>
  </r>
  <r>
    <x v="0"/>
    <x v="16"/>
    <x v="13"/>
    <x v="1"/>
  </r>
  <r>
    <x v="0"/>
    <x v="17"/>
    <x v="9"/>
    <x v="1"/>
  </r>
  <r>
    <x v="0"/>
    <x v="18"/>
    <x v="14"/>
    <x v="1"/>
  </r>
  <r>
    <x v="0"/>
    <x v="19"/>
    <x v="15"/>
    <x v="1"/>
  </r>
  <r>
    <x v="1"/>
    <x v="20"/>
    <x v="4"/>
    <x v="0"/>
  </r>
  <r>
    <x v="2"/>
    <x v="21"/>
    <x v="16"/>
    <x v="0"/>
  </r>
  <r>
    <x v="1"/>
    <x v="22"/>
    <x v="4"/>
    <x v="0"/>
  </r>
  <r>
    <x v="1"/>
    <x v="23"/>
    <x v="17"/>
    <x v="1"/>
  </r>
  <r>
    <x v="1"/>
    <x v="24"/>
    <x v="18"/>
    <x v="0"/>
  </r>
  <r>
    <x v="2"/>
    <x v="25"/>
    <x v="16"/>
    <x v="1"/>
  </r>
  <r>
    <x v="1"/>
    <x v="26"/>
    <x v="19"/>
    <x v="0"/>
  </r>
  <r>
    <x v="1"/>
    <x v="27"/>
    <x v="20"/>
    <x v="0"/>
  </r>
  <r>
    <x v="1"/>
    <x v="27"/>
    <x v="21"/>
    <x v="1"/>
  </r>
  <r>
    <x v="1"/>
    <x v="28"/>
    <x v="22"/>
    <x v="1"/>
  </r>
  <r>
    <x v="1"/>
    <x v="29"/>
    <x v="22"/>
    <x v="0"/>
  </r>
  <r>
    <x v="2"/>
    <x v="30"/>
    <x v="10"/>
    <x v="0"/>
  </r>
  <r>
    <x v="1"/>
    <x v="31"/>
    <x v="23"/>
    <x v="0"/>
  </r>
  <r>
    <x v="1"/>
    <x v="32"/>
    <x v="24"/>
    <x v="0"/>
  </r>
  <r>
    <x v="1"/>
    <x v="33"/>
    <x v="25"/>
    <x v="0"/>
  </r>
  <r>
    <x v="1"/>
    <x v="33"/>
    <x v="26"/>
    <x v="0"/>
  </r>
  <r>
    <x v="2"/>
    <x v="34"/>
    <x v="27"/>
    <x v="0"/>
  </r>
  <r>
    <x v="1"/>
    <x v="35"/>
    <x v="28"/>
    <x v="0"/>
  </r>
  <r>
    <x v="1"/>
    <x v="36"/>
    <x v="29"/>
    <x v="1"/>
  </r>
  <r>
    <x v="1"/>
    <x v="37"/>
    <x v="30"/>
    <x v="0"/>
  </r>
  <r>
    <x v="2"/>
    <x v="38"/>
    <x v="31"/>
    <x v="1"/>
  </r>
  <r>
    <x v="1"/>
    <x v="39"/>
    <x v="32"/>
    <x v="0"/>
  </r>
  <r>
    <x v="1"/>
    <x v="39"/>
    <x v="29"/>
    <x v="0"/>
  </r>
  <r>
    <x v="1"/>
    <x v="39"/>
    <x v="15"/>
    <x v="0"/>
  </r>
  <r>
    <x v="2"/>
    <x v="40"/>
    <x v="33"/>
    <x v="1"/>
  </r>
  <r>
    <x v="1"/>
    <x v="41"/>
    <x v="28"/>
    <x v="0"/>
  </r>
  <r>
    <x v="1"/>
    <x v="42"/>
    <x v="34"/>
    <x v="1"/>
  </r>
  <r>
    <x v="1"/>
    <x v="43"/>
    <x v="24"/>
    <x v="0"/>
  </r>
  <r>
    <x v="2"/>
    <x v="44"/>
    <x v="4"/>
    <x v="1"/>
  </r>
  <r>
    <x v="2"/>
    <x v="45"/>
    <x v="35"/>
    <x v="1"/>
  </r>
  <r>
    <x v="2"/>
    <x v="45"/>
    <x v="24"/>
    <x v="0"/>
  </r>
  <r>
    <x v="1"/>
    <x v="46"/>
    <x v="26"/>
    <x v="1"/>
  </r>
  <r>
    <x v="2"/>
    <x v="47"/>
    <x v="27"/>
    <x v="1"/>
  </r>
  <r>
    <x v="1"/>
    <x v="48"/>
    <x v="20"/>
    <x v="0"/>
  </r>
  <r>
    <x v="1"/>
    <x v="49"/>
    <x v="16"/>
    <x v="0"/>
  </r>
  <r>
    <x v="1"/>
    <x v="50"/>
    <x v="10"/>
    <x v="0"/>
  </r>
  <r>
    <x v="2"/>
    <x v="51"/>
    <x v="35"/>
    <x v="1"/>
  </r>
  <r>
    <x v="2"/>
    <x v="52"/>
    <x v="3"/>
    <x v="0"/>
  </r>
  <r>
    <x v="1"/>
    <x v="53"/>
    <x v="30"/>
    <x v="1"/>
  </r>
  <r>
    <x v="2"/>
    <x v="53"/>
    <x v="36"/>
    <x v="0"/>
  </r>
  <r>
    <x v="2"/>
    <x v="54"/>
    <x v="27"/>
    <x v="0"/>
  </r>
  <r>
    <x v="2"/>
    <x v="55"/>
    <x v="5"/>
    <x v="1"/>
  </r>
  <r>
    <x v="1"/>
    <x v="56"/>
    <x v="16"/>
    <x v="0"/>
  </r>
  <r>
    <x v="1"/>
    <x v="57"/>
    <x v="30"/>
    <x v="0"/>
  </r>
  <r>
    <x v="1"/>
    <x v="58"/>
    <x v="37"/>
    <x v="1"/>
  </r>
  <r>
    <x v="2"/>
    <x v="59"/>
    <x v="36"/>
    <x v="0"/>
  </r>
  <r>
    <x v="1"/>
    <x v="60"/>
    <x v="29"/>
    <x v="1"/>
  </r>
  <r>
    <x v="2"/>
    <x v="61"/>
    <x v="15"/>
    <x v="0"/>
  </r>
  <r>
    <x v="2"/>
    <x v="61"/>
    <x v="38"/>
    <x v="0"/>
  </r>
  <r>
    <x v="1"/>
    <x v="62"/>
    <x v="39"/>
    <x v="0"/>
  </r>
  <r>
    <x v="2"/>
    <x v="63"/>
    <x v="24"/>
    <x v="0"/>
  </r>
  <r>
    <x v="1"/>
    <x v="64"/>
    <x v="34"/>
    <x v="0"/>
  </r>
  <r>
    <x v="1"/>
    <x v="65"/>
    <x v="40"/>
    <x v="0"/>
  </r>
  <r>
    <x v="1"/>
    <x v="66"/>
    <x v="11"/>
    <x v="1"/>
  </r>
  <r>
    <x v="2"/>
    <x v="67"/>
    <x v="35"/>
    <x v="1"/>
  </r>
  <r>
    <x v="2"/>
    <x v="68"/>
    <x v="2"/>
    <x v="0"/>
  </r>
  <r>
    <x v="2"/>
    <x v="68"/>
    <x v="11"/>
    <x v="1"/>
  </r>
  <r>
    <x v="1"/>
    <x v="69"/>
    <x v="41"/>
    <x v="1"/>
  </r>
  <r>
    <x v="1"/>
    <x v="70"/>
    <x v="16"/>
    <x v="0"/>
  </r>
  <r>
    <x v="1"/>
    <x v="71"/>
    <x v="21"/>
    <x v="1"/>
  </r>
  <r>
    <x v="1"/>
    <x v="71"/>
    <x v="11"/>
    <x v="0"/>
  </r>
  <r>
    <x v="1"/>
    <x v="72"/>
    <x v="42"/>
    <x v="1"/>
  </r>
  <r>
    <x v="2"/>
    <x v="73"/>
    <x v="15"/>
    <x v="1"/>
  </r>
  <r>
    <x v="1"/>
    <x v="74"/>
    <x v="43"/>
    <x v="0"/>
  </r>
  <r>
    <x v="1"/>
    <x v="75"/>
    <x v="28"/>
    <x v="0"/>
  </r>
  <r>
    <x v="1"/>
    <x v="76"/>
    <x v="41"/>
    <x v="1"/>
  </r>
  <r>
    <x v="1"/>
    <x v="76"/>
    <x v="35"/>
    <x v="1"/>
  </r>
  <r>
    <x v="1"/>
    <x v="77"/>
    <x v="11"/>
    <x v="1"/>
  </r>
  <r>
    <x v="1"/>
    <x v="78"/>
    <x v="39"/>
    <x v="1"/>
  </r>
  <r>
    <x v="1"/>
    <x v="79"/>
    <x v="6"/>
    <x v="0"/>
  </r>
  <r>
    <x v="1"/>
    <x v="80"/>
    <x v="22"/>
    <x v="0"/>
  </r>
  <r>
    <x v="1"/>
    <x v="81"/>
    <x v="11"/>
    <x v="0"/>
  </r>
  <r>
    <x v="2"/>
    <x v="82"/>
    <x v="2"/>
    <x v="0"/>
  </r>
  <r>
    <x v="1"/>
    <x v="83"/>
    <x v="44"/>
    <x v="0"/>
  </r>
  <r>
    <x v="1"/>
    <x v="84"/>
    <x v="19"/>
    <x v="0"/>
  </r>
  <r>
    <x v="1"/>
    <x v="84"/>
    <x v="10"/>
    <x v="1"/>
  </r>
  <r>
    <x v="2"/>
    <x v="85"/>
    <x v="40"/>
    <x v="0"/>
  </r>
  <r>
    <x v="2"/>
    <x v="86"/>
    <x v="26"/>
    <x v="0"/>
  </r>
  <r>
    <x v="2"/>
    <x v="87"/>
    <x v="18"/>
    <x v="1"/>
  </r>
  <r>
    <x v="2"/>
    <x v="88"/>
    <x v="19"/>
    <x v="1"/>
  </r>
  <r>
    <x v="2"/>
    <x v="89"/>
    <x v="45"/>
    <x v="0"/>
  </r>
  <r>
    <x v="2"/>
    <x v="90"/>
    <x v="44"/>
    <x v="1"/>
  </r>
  <r>
    <x v="2"/>
    <x v="91"/>
    <x v="46"/>
    <x v="1"/>
  </r>
  <r>
    <x v="2"/>
    <x v="92"/>
    <x v="47"/>
    <x v="1"/>
  </r>
  <r>
    <x v="2"/>
    <x v="93"/>
    <x v="43"/>
    <x v="0"/>
  </r>
  <r>
    <x v="2"/>
    <x v="94"/>
    <x v="48"/>
    <x v="1"/>
  </r>
  <r>
    <x v="2"/>
    <x v="95"/>
    <x v="44"/>
    <x v="0"/>
  </r>
  <r>
    <x v="2"/>
    <x v="96"/>
    <x v="30"/>
    <x v="0"/>
  </r>
  <r>
    <x v="2"/>
    <x v="97"/>
    <x v="40"/>
    <x v="1"/>
  </r>
  <r>
    <x v="2"/>
    <x v="98"/>
    <x v="19"/>
    <x v="0"/>
  </r>
  <r>
    <x v="2"/>
    <x v="99"/>
    <x v="41"/>
    <x v="0"/>
  </r>
  <r>
    <x v="2"/>
    <x v="100"/>
    <x v="45"/>
    <x v="1"/>
  </r>
  <r>
    <x v="2"/>
    <x v="101"/>
    <x v="49"/>
    <x v="0"/>
  </r>
  <r>
    <x v="2"/>
    <x v="102"/>
    <x v="17"/>
    <x v="0"/>
  </r>
  <r>
    <x v="2"/>
    <x v="103"/>
    <x v="43"/>
    <x v="0"/>
  </r>
  <r>
    <x v="2"/>
    <x v="104"/>
    <x v="49"/>
    <x v="1"/>
  </r>
  <r>
    <x v="2"/>
    <x v="105"/>
    <x v="28"/>
    <x v="0"/>
  </r>
  <r>
    <x v="2"/>
    <x v="106"/>
    <x v="39"/>
    <x v="1"/>
  </r>
  <r>
    <x v="0"/>
    <x v="107"/>
    <x v="47"/>
    <x v="1"/>
  </r>
  <r>
    <x v="0"/>
    <x v="108"/>
    <x v="18"/>
    <x v="0"/>
  </r>
  <r>
    <x v="0"/>
    <x v="109"/>
    <x v="22"/>
    <x v="0"/>
  </r>
  <r>
    <x v="0"/>
    <x v="110"/>
    <x v="50"/>
    <x v="0"/>
  </r>
  <r>
    <x v="0"/>
    <x v="111"/>
    <x v="17"/>
    <x v="0"/>
  </r>
  <r>
    <x v="0"/>
    <x v="112"/>
    <x v="51"/>
    <x v="0"/>
  </r>
  <r>
    <x v="0"/>
    <x v="113"/>
    <x v="40"/>
    <x v="0"/>
  </r>
  <r>
    <x v="0"/>
    <x v="114"/>
    <x v="51"/>
    <x v="0"/>
  </r>
  <r>
    <x v="0"/>
    <x v="115"/>
    <x v="52"/>
    <x v="1"/>
  </r>
  <r>
    <x v="0"/>
    <x v="116"/>
    <x v="39"/>
    <x v="0"/>
  </r>
  <r>
    <x v="0"/>
    <x v="117"/>
    <x v="29"/>
    <x v="0"/>
  </r>
  <r>
    <x v="0"/>
    <x v="118"/>
    <x v="39"/>
    <x v="1"/>
  </r>
  <r>
    <x v="0"/>
    <x v="119"/>
    <x v="26"/>
    <x v="0"/>
  </r>
  <r>
    <x v="0"/>
    <x v="120"/>
    <x v="19"/>
    <x v="0"/>
  </r>
  <r>
    <x v="0"/>
    <x v="121"/>
    <x v="53"/>
    <x v="0"/>
  </r>
  <r>
    <x v="0"/>
    <x v="122"/>
    <x v="54"/>
    <x v="0"/>
  </r>
  <r>
    <x v="0"/>
    <x v="123"/>
    <x v="55"/>
    <x v="0"/>
  </r>
  <r>
    <x v="0"/>
    <x v="124"/>
    <x v="53"/>
    <x v="1"/>
  </r>
  <r>
    <x v="0"/>
    <x v="125"/>
    <x v="54"/>
    <x v="0"/>
  </r>
  <r>
    <x v="0"/>
    <x v="126"/>
    <x v="44"/>
    <x v="0"/>
  </r>
  <r>
    <x v="0"/>
    <x v="127"/>
    <x v="29"/>
    <x v="0"/>
  </r>
  <r>
    <x v="0"/>
    <x v="128"/>
    <x v="21"/>
    <x v="1"/>
  </r>
  <r>
    <x v="0"/>
    <x v="129"/>
    <x v="16"/>
    <x v="0"/>
  </r>
  <r>
    <x v="0"/>
    <x v="130"/>
    <x v="56"/>
    <x v="0"/>
  </r>
  <r>
    <x v="0"/>
    <x v="130"/>
    <x v="29"/>
    <x v="1"/>
  </r>
  <r>
    <x v="0"/>
    <x v="131"/>
    <x v="17"/>
    <x v="0"/>
  </r>
  <r>
    <x v="0"/>
    <x v="132"/>
    <x v="19"/>
    <x v="0"/>
  </r>
  <r>
    <x v="0"/>
    <x v="133"/>
    <x v="57"/>
    <x v="1"/>
  </r>
  <r>
    <x v="0"/>
    <x v="134"/>
    <x v="19"/>
    <x v="0"/>
  </r>
  <r>
    <x v="0"/>
    <x v="135"/>
    <x v="43"/>
    <x v="1"/>
  </r>
  <r>
    <x v="0"/>
    <x v="136"/>
    <x v="40"/>
    <x v="0"/>
  </r>
  <r>
    <x v="0"/>
    <x v="137"/>
    <x v="29"/>
    <x v="0"/>
  </r>
  <r>
    <x v="0"/>
    <x v="138"/>
    <x v="26"/>
    <x v="1"/>
  </r>
  <r>
    <x v="0"/>
    <x v="139"/>
    <x v="5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C59D67-8C89-47C7-A5B4-3A93BACAFFB6}" name="Tabela dinâmica4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G25:H28" firstHeaderRow="1" firstDataRow="1" firstDataCol="1"/>
  <pivotFields count="7">
    <pivotField showAll="0">
      <items count="4">
        <item sd="0" x="0"/>
        <item sd="0" x="2"/>
        <item sd="0"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>
      <items count="60">
        <item h="1" x="1"/>
        <item h="1" x="9"/>
        <item h="1" x="25"/>
        <item h="1" x="55"/>
        <item h="1" x="32"/>
        <item h="1" x="13"/>
        <item h="1" x="50"/>
        <item h="1" x="57"/>
        <item h="1" x="0"/>
        <item h="1" x="12"/>
        <item h="1" x="30"/>
        <item h="1" x="48"/>
        <item h="1" x="5"/>
        <item h="1" x="17"/>
        <item x="22"/>
        <item h="1" x="56"/>
        <item h="1" x="23"/>
        <item h="1" x="2"/>
        <item h="1" x="39"/>
        <item h="1" x="18"/>
        <item h="1" x="28"/>
        <item h="1" x="11"/>
        <item h="1" x="46"/>
        <item h="1" x="7"/>
        <item h="1" x="44"/>
        <item h="1" x="54"/>
        <item h="1" x="43"/>
        <item h="1" x="34"/>
        <item h="1" x="24"/>
        <item h="1" x="45"/>
        <item h="1" x="16"/>
        <item h="1" x="19"/>
        <item h="1" x="49"/>
        <item h="1" x="35"/>
        <item h="1" x="41"/>
        <item h="1" x="58"/>
        <item h="1" x="52"/>
        <item h="1" x="29"/>
        <item h="1" x="47"/>
        <item h="1" x="3"/>
        <item h="1" x="53"/>
        <item h="1" x="26"/>
        <item h="1" x="20"/>
        <item h="1" x="21"/>
        <item h="1" x="40"/>
        <item h="1" x="10"/>
        <item h="1" x="51"/>
        <item h="1" x="14"/>
        <item h="1" x="4"/>
        <item h="1" x="42"/>
        <item h="1" x="6"/>
        <item h="1" x="36"/>
        <item h="1" x="15"/>
        <item h="1" x="27"/>
        <item h="1" x="38"/>
        <item h="1" x="31"/>
        <item h="1" x="33"/>
        <item h="1" x="37"/>
        <item h="1" x="8"/>
        <item t="default"/>
      </items>
    </pivotField>
    <pivotField showAll="0">
      <items count="3">
        <item x="0"/>
        <item x="1"/>
        <item t="default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2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</items>
    </pivotField>
    <pivotField axis="axisRow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 count="1">
    <field x="6"/>
  </rowFields>
  <rowItems count="3">
    <i>
      <x v="219"/>
    </i>
    <i>
      <x v="221"/>
    </i>
    <i t="grand">
      <x/>
    </i>
  </rowItems>
  <colItems count="1">
    <i/>
  </colItems>
  <dataFields count="1">
    <dataField name="Soma de Valor" fld="2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1B10C-DA22-49F0-872A-002E7C1B4851}" name="Tabela dinâmica3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R2:S5" firstHeaderRow="1" firstDataRow="1" firstDataCol="1"/>
  <pivotFields count="7">
    <pivotField showAll="0">
      <items count="4">
        <item x="0"/>
        <item x="2"/>
        <item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>
      <items count="60">
        <item h="1" x="1"/>
        <item h="1" x="9"/>
        <item h="1" x="25"/>
        <item h="1" x="55"/>
        <item h="1" x="32"/>
        <item h="1" x="13"/>
        <item h="1" x="50"/>
        <item h="1" x="57"/>
        <item h="1" x="0"/>
        <item h="1" x="12"/>
        <item h="1" x="30"/>
        <item h="1" x="48"/>
        <item h="1" x="5"/>
        <item h="1" x="17"/>
        <item x="22"/>
        <item h="1" x="56"/>
        <item h="1" x="23"/>
        <item h="1" x="2"/>
        <item h="1" x="39"/>
        <item h="1" x="18"/>
        <item h="1" x="28"/>
        <item h="1" x="11"/>
        <item h="1" x="46"/>
        <item h="1" x="7"/>
        <item h="1" x="44"/>
        <item h="1" x="54"/>
        <item h="1" x="43"/>
        <item h="1" x="34"/>
        <item h="1" x="24"/>
        <item h="1" x="45"/>
        <item h="1" x="16"/>
        <item h="1" x="19"/>
        <item h="1" x="49"/>
        <item h="1" x="35"/>
        <item h="1" x="41"/>
        <item h="1" x="58"/>
        <item h="1" x="52"/>
        <item h="1" x="29"/>
        <item h="1" x="47"/>
        <item h="1" x="3"/>
        <item h="1" x="53"/>
        <item h="1" x="26"/>
        <item h="1" x="20"/>
        <item h="1" x="21"/>
        <item h="1" x="40"/>
        <item h="1" x="10"/>
        <item h="1" x="51"/>
        <item h="1" x="14"/>
        <item h="1" x="4"/>
        <item h="1" x="42"/>
        <item h="1" x="6"/>
        <item h="1" x="36"/>
        <item h="1" x="15"/>
        <item h="1" x="27"/>
        <item h="1" x="38"/>
        <item h="1" x="31"/>
        <item h="1" x="33"/>
        <item h="1" x="37"/>
        <item h="1" x="8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oma de Valor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F2FE0-D942-49C4-A707-213181979756}" name="Tabela dinâmica2" cacheId="1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3">
  <location ref="G2:H5" firstHeaderRow="1" firstDataRow="1" firstDataCol="1"/>
  <pivotFields count="7">
    <pivotField axis="axisRow" showAll="0">
      <items count="4">
        <item x="0"/>
        <item x="2"/>
        <item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>
      <items count="60">
        <item h="1" x="1"/>
        <item h="1" x="9"/>
        <item h="1" x="25"/>
        <item h="1" x="55"/>
        <item h="1" x="32"/>
        <item h="1" x="13"/>
        <item h="1" x="50"/>
        <item h="1" x="57"/>
        <item h="1" x="0"/>
        <item h="1" x="12"/>
        <item h="1" x="30"/>
        <item h="1" x="48"/>
        <item h="1" x="5"/>
        <item h="1" x="17"/>
        <item x="22"/>
        <item h="1" x="56"/>
        <item h="1" x="23"/>
        <item h="1" x="2"/>
        <item h="1" x="39"/>
        <item h="1" x="18"/>
        <item h="1" x="28"/>
        <item h="1" x="11"/>
        <item h="1" x="46"/>
        <item h="1" x="7"/>
        <item h="1" x="44"/>
        <item h="1" x="54"/>
        <item h="1" x="43"/>
        <item h="1" x="34"/>
        <item h="1" x="24"/>
        <item h="1" x="45"/>
        <item h="1" x="16"/>
        <item h="1" x="19"/>
        <item h="1" x="49"/>
        <item h="1" x="35"/>
        <item h="1" x="41"/>
        <item h="1" x="58"/>
        <item h="1" x="52"/>
        <item h="1" x="29"/>
        <item h="1" x="47"/>
        <item h="1" x="3"/>
        <item h="1" x="53"/>
        <item h="1" x="26"/>
        <item h="1" x="20"/>
        <item h="1" x="21"/>
        <item h="1" x="40"/>
        <item h="1" x="10"/>
        <item h="1" x="51"/>
        <item h="1" x="14"/>
        <item h="1" x="4"/>
        <item h="1" x="42"/>
        <item h="1" x="6"/>
        <item h="1" x="36"/>
        <item h="1" x="15"/>
        <item h="1" x="27"/>
        <item h="1" x="38"/>
        <item h="1" x="31"/>
        <item h="1" x="33"/>
        <item h="1" x="37"/>
        <item h="1" x="8"/>
        <item t="default"/>
      </items>
    </pivotField>
    <pivotField showAll="0">
      <items count="3">
        <item x="0"/>
        <item x="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0"/>
  </rowFields>
  <rowItems count="3">
    <i>
      <x/>
    </i>
    <i>
      <x v="2"/>
    </i>
    <i t="grand">
      <x/>
    </i>
  </rowItems>
  <colItems count="1">
    <i/>
  </colItems>
  <dataFields count="1">
    <dataField name="Soma de Valor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2FAA8C3E-7FBA-4962-A4F4-31FA16E56F4C}" autoFormatId="16" applyNumberFormats="0" applyBorderFormats="0" applyFontFormats="0" applyPatternFormats="0" applyAlignmentFormats="0" applyWidthHeightFormats="0">
  <queryTableRefresh nextId="5">
    <queryTableFields count="4">
      <queryTableField id="1" name="Funcionário" tableColumnId="1"/>
      <queryTableField id="2" name="Quando" tableColumnId="2"/>
      <queryTableField id="3" name="Valor" tableColumnId="3"/>
      <queryTableField id="4" name="Tipo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cionário" xr10:uid="{C298242F-9D0C-457E-8283-4B89281F177A}" sourceName="Funcionário">
  <pivotTables>
    <pivotTable tabId="12" name="Tabela dinâmica2"/>
    <pivotTable tabId="12" name="Tabela dinâmica3"/>
    <pivotTable tabId="12" name="Tabela dinâmica4"/>
  </pivotTables>
  <data>
    <tabular pivotCacheId="2089569522">
      <items count="3">
        <i x="0" s="1"/>
        <i x="1" s="1"/>
        <i x="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alor" xr10:uid="{3BA311A3-DD24-403D-8D25-8687C67B669B}" sourceName="Valor">
  <pivotTables>
    <pivotTable tabId="12" name="Tabela dinâmica2"/>
    <pivotTable tabId="12" name="Tabela dinâmica3"/>
    <pivotTable tabId="12" name="Tabela dinâmica4"/>
  </pivotTables>
  <data>
    <tabular pivotCacheId="2089569522">
      <items count="59">
        <i x="1"/>
        <i x="9"/>
        <i x="25"/>
        <i x="55"/>
        <i x="32"/>
        <i x="13"/>
        <i x="50"/>
        <i x="57"/>
        <i x="0"/>
        <i x="12"/>
        <i x="30"/>
        <i x="48"/>
        <i x="5"/>
        <i x="17"/>
        <i x="22" s="1"/>
        <i x="56"/>
        <i x="23"/>
        <i x="2"/>
        <i x="39"/>
        <i x="18"/>
        <i x="28"/>
        <i x="11"/>
        <i x="46"/>
        <i x="7"/>
        <i x="44"/>
        <i x="54"/>
        <i x="43"/>
        <i x="34"/>
        <i x="24"/>
        <i x="45"/>
        <i x="16"/>
        <i x="19"/>
        <i x="49"/>
        <i x="35"/>
        <i x="41"/>
        <i x="58"/>
        <i x="52"/>
        <i x="29"/>
        <i x="47"/>
        <i x="3"/>
        <i x="53"/>
        <i x="26"/>
        <i x="20"/>
        <i x="21"/>
        <i x="40"/>
        <i x="10"/>
        <i x="51"/>
        <i x="14"/>
        <i x="4"/>
        <i x="42"/>
        <i x="6"/>
        <i x="36"/>
        <i x="15"/>
        <i x="27"/>
        <i x="38"/>
        <i x="31"/>
        <i x="33"/>
        <i x="37"/>
        <i x="8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4BB52AB2-384F-4A54-B6E5-FD44B3E1243F}" sourceName="Tipo">
  <pivotTables>
    <pivotTable tabId="12" name="Tabela dinâmica2"/>
    <pivotTable tabId="12" name="Tabela dinâmica3"/>
    <pivotTable tabId="12" name="Tabela dinâmica4"/>
  </pivotTables>
  <data>
    <tabular pivotCacheId="2089569522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ncionário" xr10:uid="{E6BB8BD4-A7EF-4702-B89A-78866A1C50B3}" cache="SegmentaçãodeDados_Funcionário" caption="Funcionário" rowHeight="241300"/>
  <slicer name="Valor" xr10:uid="{EDBD0EAA-AE3A-499C-ACE2-E32425E3FD2F}" cache="SegmentaçãodeDados_Valor" caption="Valor" startItem="8" rowHeight="241300"/>
  <slicer name="Tipo" xr10:uid="{4F42F4A1-1CB0-4A3D-ABF4-A2BD31EF4866}" cache="SegmentaçãodeDados_Tipo" caption="Tipo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65996B-1F2A-4062-A92A-0F95C861FE15}" name="dados__2" displayName="dados__2" ref="A1:D153" tableType="queryTable" totalsRowShown="0">
  <autoFilter ref="A1:D153" xr:uid="{9265996B-1F2A-4062-A92A-0F95C861FE15}"/>
  <tableColumns count="4">
    <tableColumn id="1" xr3:uid="{F9EFE87B-58F0-421F-9336-9139CBA11DAF}" uniqueName="1" name="Funcionário" queryTableFieldId="1" dataDxfId="2"/>
    <tableColumn id="2" xr3:uid="{9C782045-9117-4892-9A42-5B0301079294}" uniqueName="2" name="Quando" queryTableFieldId="2" dataDxfId="1"/>
    <tableColumn id="3" xr3:uid="{4CB8D260-EA7F-40E2-A016-1C0780B857AE}" uniqueName="3" name="Valor" queryTableFieldId="3"/>
    <tableColumn id="4" xr3:uid="{CA8E1074-42EB-4DA8-8F7E-4E823709F86A}" uniqueName="4" name="Tipo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Quando" xr10:uid="{076629BD-6DFB-421F-8229-6050D8D02D31}" sourceName="Quando">
  <pivotTables>
    <pivotTable tabId="12" name="Tabela dinâmica2"/>
  </pivotTables>
  <state minimalRefreshVersion="6" lastRefreshVersion="6" pivotCacheId="2089569522" filterType="unknown">
    <bounds startDate="2023-01-01T14:32:00" endDate="2024-01-01T19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Quando" xr10:uid="{2D111046-5F0C-4041-B1AB-D83D71FB1769}" cache="NativeTimeline_Quando" caption="Quando" level="2" selectionLevel="2" scrollPosition="2023-05-19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B901-8E13-4D35-B419-B886A5B4301B}">
  <sheetPr codeName="Planilha1"/>
  <dimension ref="A8:C11"/>
  <sheetViews>
    <sheetView zoomScale="175" zoomScaleNormal="175" workbookViewId="0">
      <selection activeCell="I9" sqref="I9"/>
    </sheetView>
  </sheetViews>
  <sheetFormatPr defaultRowHeight="15" x14ac:dyDescent="0.25"/>
  <cols>
    <col min="1" max="1" width="11.140625" bestFit="1" customWidth="1"/>
  </cols>
  <sheetData>
    <row r="8" spans="1:3" x14ac:dyDescent="0.25">
      <c r="A8" s="1">
        <f ca="1">TODAY()</f>
        <v>45149</v>
      </c>
      <c r="C8">
        <v>5</v>
      </c>
    </row>
    <row r="9" spans="1:3" x14ac:dyDescent="0.25">
      <c r="A9" t="str">
        <f>ROMAN(55)</f>
        <v>LV</v>
      </c>
    </row>
    <row r="10" spans="1:3" x14ac:dyDescent="0.25">
      <c r="A10" t="str">
        <f>parimpar(5)</f>
        <v>Impar</v>
      </c>
    </row>
    <row r="11" spans="1:3" x14ac:dyDescent="0.25">
      <c r="A11" t="str">
        <f>extenso(11)</f>
        <v>vai até 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EFA8-37DB-4DE0-AC6C-7382A0171900}">
  <sheetPr codeName="Planilha2"/>
  <dimension ref="A2:P24"/>
  <sheetViews>
    <sheetView workbookViewId="0">
      <selection activeCell="B10" sqref="B10"/>
    </sheetView>
  </sheetViews>
  <sheetFormatPr defaultRowHeight="15" x14ac:dyDescent="0.25"/>
  <cols>
    <col min="1" max="1" width="34.7109375" customWidth="1"/>
    <col min="2" max="2" width="9.5703125" bestFit="1" customWidth="1"/>
    <col min="5" max="5" width="19" customWidth="1"/>
    <col min="9" max="9" width="18.7109375" customWidth="1"/>
    <col min="10" max="10" width="12.5703125" customWidth="1"/>
  </cols>
  <sheetData>
    <row r="2" spans="1:5" x14ac:dyDescent="0.25">
      <c r="A2" s="15" t="s">
        <v>0</v>
      </c>
      <c r="B2" s="15"/>
      <c r="E2" s="3" t="s">
        <v>24</v>
      </c>
    </row>
    <row r="3" spans="1:5" x14ac:dyDescent="0.25">
      <c r="A3" s="4" t="s">
        <v>1</v>
      </c>
      <c r="B3" s="4" t="s">
        <v>21</v>
      </c>
      <c r="E3" s="6" t="s">
        <v>25</v>
      </c>
    </row>
    <row r="4" spans="1:5" x14ac:dyDescent="0.25">
      <c r="A4" s="6">
        <v>0</v>
      </c>
      <c r="B4" s="8" t="s">
        <v>23</v>
      </c>
      <c r="E4" s="6" t="s">
        <v>26</v>
      </c>
    </row>
    <row r="5" spans="1:5" x14ac:dyDescent="0.25">
      <c r="A5" s="6" t="s">
        <v>2</v>
      </c>
      <c r="B5" s="7">
        <v>5</v>
      </c>
      <c r="E5" s="6" t="s">
        <v>27</v>
      </c>
    </row>
    <row r="6" spans="1:5" x14ac:dyDescent="0.25">
      <c r="A6" s="6" t="s">
        <v>22</v>
      </c>
      <c r="B6" s="7">
        <v>5.5</v>
      </c>
    </row>
    <row r="7" spans="1:5" x14ac:dyDescent="0.25">
      <c r="A7" s="6" t="s">
        <v>3</v>
      </c>
      <c r="B7" s="7">
        <v>6</v>
      </c>
    </row>
    <row r="8" spans="1:5" x14ac:dyDescent="0.25">
      <c r="A8" s="6" t="s">
        <v>4</v>
      </c>
      <c r="B8" s="7">
        <v>6</v>
      </c>
    </row>
    <row r="9" spans="1:5" x14ac:dyDescent="0.25">
      <c r="A9" s="6" t="s">
        <v>5</v>
      </c>
      <c r="B9" s="7">
        <v>5.5</v>
      </c>
    </row>
    <row r="10" spans="1:5" x14ac:dyDescent="0.25">
      <c r="A10" s="6" t="s">
        <v>6</v>
      </c>
      <c r="B10" s="7">
        <v>6</v>
      </c>
    </row>
    <row r="11" spans="1:5" x14ac:dyDescent="0.25">
      <c r="A11" s="6" t="s">
        <v>7</v>
      </c>
      <c r="B11" s="7">
        <v>5</v>
      </c>
    </row>
    <row r="12" spans="1:5" x14ac:dyDescent="0.25">
      <c r="A12" s="6" t="s">
        <v>8</v>
      </c>
      <c r="B12" s="7">
        <v>5</v>
      </c>
    </row>
    <row r="13" spans="1:5" x14ac:dyDescent="0.25">
      <c r="A13" s="6" t="s">
        <v>9</v>
      </c>
      <c r="B13" s="7">
        <v>10</v>
      </c>
    </row>
    <row r="14" spans="1:5" x14ac:dyDescent="0.25">
      <c r="A14" s="6" t="s">
        <v>10</v>
      </c>
      <c r="B14" s="7">
        <v>15</v>
      </c>
    </row>
    <row r="15" spans="1:5" x14ac:dyDescent="0.25">
      <c r="A15" s="6" t="s">
        <v>11</v>
      </c>
      <c r="B15" s="7">
        <v>8</v>
      </c>
    </row>
    <row r="16" spans="1:5" x14ac:dyDescent="0.25">
      <c r="A16" s="6" t="s">
        <v>12</v>
      </c>
      <c r="B16" s="7">
        <v>7</v>
      </c>
    </row>
    <row r="17" spans="1:16" x14ac:dyDescent="0.25">
      <c r="A17" s="6" t="s">
        <v>13</v>
      </c>
      <c r="B17" s="7">
        <v>3.5</v>
      </c>
    </row>
    <row r="18" spans="1:16" x14ac:dyDescent="0.25">
      <c r="A18" s="6" t="s">
        <v>14</v>
      </c>
      <c r="B18" s="7">
        <v>6</v>
      </c>
    </row>
    <row r="19" spans="1:16" x14ac:dyDescent="0.25">
      <c r="A19" s="6" t="s">
        <v>15</v>
      </c>
      <c r="B19" s="7">
        <v>7</v>
      </c>
    </row>
    <row r="20" spans="1:16" x14ac:dyDescent="0.25">
      <c r="A20" s="6" t="s">
        <v>16</v>
      </c>
      <c r="B20" s="7">
        <v>15</v>
      </c>
    </row>
    <row r="21" spans="1:16" x14ac:dyDescent="0.25">
      <c r="A21" s="6" t="s">
        <v>17</v>
      </c>
      <c r="B21" s="7">
        <v>6</v>
      </c>
      <c r="P21" t="s">
        <v>35</v>
      </c>
    </row>
    <row r="22" spans="1:16" x14ac:dyDescent="0.25">
      <c r="A22" s="6" t="s">
        <v>18</v>
      </c>
      <c r="B22" s="7">
        <v>5</v>
      </c>
    </row>
    <row r="23" spans="1:16" x14ac:dyDescent="0.25">
      <c r="A23" s="6" t="s">
        <v>19</v>
      </c>
      <c r="B23" s="7">
        <v>6</v>
      </c>
    </row>
    <row r="24" spans="1:16" x14ac:dyDescent="0.25">
      <c r="A24" s="6" t="s">
        <v>20</v>
      </c>
      <c r="B24" s="7">
        <v>3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393A-0DE8-430B-A9C5-DCA0A33F055C}">
  <sheetPr codeName="Planilha3"/>
  <dimension ref="A2:D18"/>
  <sheetViews>
    <sheetView workbookViewId="0">
      <selection activeCell="A4" sqref="A4"/>
    </sheetView>
  </sheetViews>
  <sheetFormatPr defaultRowHeight="15" x14ac:dyDescent="0.25"/>
  <cols>
    <col min="1" max="1" width="30.28515625" customWidth="1"/>
    <col min="2" max="2" width="14" customWidth="1"/>
    <col min="3" max="3" width="13.140625" customWidth="1"/>
    <col min="4" max="4" width="10.5703125" bestFit="1" customWidth="1"/>
    <col min="13" max="13" width="12.85546875" customWidth="1"/>
  </cols>
  <sheetData>
    <row r="2" spans="1:4" x14ac:dyDescent="0.25">
      <c r="A2" s="16" t="s">
        <v>28</v>
      </c>
      <c r="B2" s="16"/>
      <c r="C2" s="16"/>
      <c r="D2" s="16"/>
    </row>
    <row r="3" spans="1:4" x14ac:dyDescent="0.25">
      <c r="A3" s="4" t="s">
        <v>1</v>
      </c>
      <c r="B3" s="4" t="s">
        <v>29</v>
      </c>
      <c r="C3" s="4" t="s">
        <v>21</v>
      </c>
      <c r="D3" s="4" t="s">
        <v>30</v>
      </c>
    </row>
    <row r="4" spans="1:4" x14ac:dyDescent="0.25">
      <c r="A4" s="14" t="s">
        <v>6</v>
      </c>
      <c r="B4" s="14"/>
      <c r="C4" s="2">
        <f>IF(A4="",0,VLOOKUP(A4,cardapio!$A$5:$B$24,2,0))</f>
        <v>6</v>
      </c>
      <c r="D4" s="7">
        <f>PRODUCT(B4,C4)</f>
        <v>6</v>
      </c>
    </row>
    <row r="5" spans="1:4" x14ac:dyDescent="0.25">
      <c r="A5" s="14"/>
      <c r="B5" s="14"/>
      <c r="C5" s="2">
        <f>IF(A5="",0,VLOOKUP(A5,cardapio!$A$5:$B$24,2,0))</f>
        <v>0</v>
      </c>
      <c r="D5" s="7">
        <f t="shared" ref="D5:D15" si="0">PRODUCT(B5,C5)</f>
        <v>0</v>
      </c>
    </row>
    <row r="6" spans="1:4" x14ac:dyDescent="0.25">
      <c r="A6" s="14"/>
      <c r="B6" s="14"/>
      <c r="C6" s="2">
        <f>IF(A6="",0,VLOOKUP(A6,cardapio!$A$5:$B$24,2,0))</f>
        <v>0</v>
      </c>
      <c r="D6" s="7">
        <f t="shared" si="0"/>
        <v>0</v>
      </c>
    </row>
    <row r="7" spans="1:4" x14ac:dyDescent="0.25">
      <c r="A7" s="14"/>
      <c r="B7" s="14"/>
      <c r="C7" s="2">
        <f>IF(A7="",0,VLOOKUP(A7,cardapio!$A$5:$B$24,2,0))</f>
        <v>0</v>
      </c>
      <c r="D7" s="7">
        <f t="shared" si="0"/>
        <v>0</v>
      </c>
    </row>
    <row r="8" spans="1:4" x14ac:dyDescent="0.25">
      <c r="A8" s="14"/>
      <c r="B8" s="14"/>
      <c r="C8" s="2">
        <f>IF(A8="",0,VLOOKUP(A8,cardapio!$A$5:$B$24,2,0))</f>
        <v>0</v>
      </c>
      <c r="D8" s="7">
        <f t="shared" si="0"/>
        <v>0</v>
      </c>
    </row>
    <row r="9" spans="1:4" x14ac:dyDescent="0.25">
      <c r="A9" s="14"/>
      <c r="B9" s="14"/>
      <c r="C9" s="2">
        <f>IF(A9="",0,VLOOKUP(A9,cardapio!$A$5:$B$24,2,0))</f>
        <v>0</v>
      </c>
      <c r="D9" s="7">
        <f t="shared" si="0"/>
        <v>0</v>
      </c>
    </row>
    <row r="10" spans="1:4" x14ac:dyDescent="0.25">
      <c r="A10" s="14"/>
      <c r="B10" s="14"/>
      <c r="C10" s="2">
        <f>IF(A10="",0,VLOOKUP(A10,cardapio!$A$5:$B$24,2,0))</f>
        <v>0</v>
      </c>
      <c r="D10" s="7">
        <f t="shared" si="0"/>
        <v>0</v>
      </c>
    </row>
    <row r="11" spans="1:4" x14ac:dyDescent="0.25">
      <c r="A11" s="14"/>
      <c r="B11" s="14"/>
      <c r="C11" s="2">
        <f>IF(A11="",0,VLOOKUP(A11,cardapio!$A$5:$B$24,2,0))</f>
        <v>0</v>
      </c>
      <c r="D11" s="7">
        <f t="shared" si="0"/>
        <v>0</v>
      </c>
    </row>
    <row r="12" spans="1:4" x14ac:dyDescent="0.25">
      <c r="A12" s="14"/>
      <c r="B12" s="14"/>
      <c r="C12" s="2">
        <f>IF(A12="",0,VLOOKUP(A12,cardapio!$A$5:$B$24,2,0))</f>
        <v>0</v>
      </c>
      <c r="D12" s="7">
        <f t="shared" si="0"/>
        <v>0</v>
      </c>
    </row>
    <row r="13" spans="1:4" x14ac:dyDescent="0.25">
      <c r="A13" s="14"/>
      <c r="B13" s="14"/>
      <c r="C13" s="2">
        <f>IF(A13="",0,VLOOKUP(A13,cardapio!$A$5:$B$24,2,0))</f>
        <v>0</v>
      </c>
      <c r="D13" s="7">
        <f t="shared" si="0"/>
        <v>0</v>
      </c>
    </row>
    <row r="14" spans="1:4" x14ac:dyDescent="0.25">
      <c r="A14" s="14"/>
      <c r="B14" s="14"/>
      <c r="C14" s="2">
        <f>IF(A14="",0,VLOOKUP(A14,cardapio!$A$5:$B$24,2,0))</f>
        <v>0</v>
      </c>
      <c r="D14" s="7">
        <f t="shared" si="0"/>
        <v>0</v>
      </c>
    </row>
    <row r="15" spans="1:4" x14ac:dyDescent="0.25">
      <c r="A15" s="14"/>
      <c r="B15" s="14"/>
      <c r="C15" s="2">
        <f>IF(A15="",0,VLOOKUP(A15,cardapio!$A$5:$B$24,2,0))</f>
        <v>0</v>
      </c>
      <c r="D15" s="7">
        <f t="shared" si="0"/>
        <v>0</v>
      </c>
    </row>
    <row r="16" spans="1:4" x14ac:dyDescent="0.25">
      <c r="A16" s="9" t="s">
        <v>31</v>
      </c>
      <c r="B16" s="9"/>
      <c r="C16" s="12"/>
      <c r="D16" s="12">
        <f>SUM(D4:D15)</f>
        <v>6</v>
      </c>
    </row>
    <row r="17" spans="1:4" x14ac:dyDescent="0.25">
      <c r="A17" s="3" t="s">
        <v>32</v>
      </c>
      <c r="C17" s="4" t="s">
        <v>34</v>
      </c>
      <c r="D17" s="13">
        <v>20</v>
      </c>
    </row>
    <row r="18" spans="1:4" x14ac:dyDescent="0.25">
      <c r="A18" s="6" t="s">
        <v>26</v>
      </c>
      <c r="B18" s="6"/>
      <c r="C18" s="4" t="s">
        <v>33</v>
      </c>
      <c r="D18">
        <f>IF(OR(D17&lt;0, D17&lt;D16), "", D17-D16)</f>
        <v>14</v>
      </c>
    </row>
  </sheetData>
  <mergeCells count="1">
    <mergeCell ref="A2:D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07B810-B004-42A2-977F-186ABB47D7FD}">
          <x14:formula1>
            <xm:f>cardapio!$A$5:$A$24</xm:f>
          </x14:formula1>
          <xm:sqref>A4:A15</xm:sqref>
        </x14:dataValidation>
        <x14:dataValidation type="list" allowBlank="1" showInputMessage="1" showErrorMessage="1" xr:uid="{85A08E7E-37C2-4C67-9601-33A990E63929}">
          <x14:formula1>
            <xm:f>cardapio!$E$3:$E$5</xm:f>
          </x14:formula1>
          <xm:sqref>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EBAD-9593-4DFD-8B8B-BE2AEF5F36AC}">
  <sheetPr codeName="Planilha4"/>
  <dimension ref="A1:D8"/>
  <sheetViews>
    <sheetView workbookViewId="0">
      <selection activeCell="F38" sqref="F38"/>
    </sheetView>
  </sheetViews>
  <sheetFormatPr defaultRowHeight="15" x14ac:dyDescent="0.25"/>
  <cols>
    <col min="1" max="1" width="15.140625" customWidth="1"/>
    <col min="2" max="3" width="15.85546875" bestFit="1" customWidth="1"/>
  </cols>
  <sheetData>
    <row r="1" spans="1:4" x14ac:dyDescent="0.25">
      <c r="A1" s="16" t="s">
        <v>36</v>
      </c>
      <c r="B1" s="16"/>
      <c r="C1" s="16"/>
      <c r="D1" s="16"/>
    </row>
    <row r="2" spans="1:4" x14ac:dyDescent="0.25">
      <c r="A2" s="4" t="s">
        <v>32</v>
      </c>
      <c r="B2" s="4" t="s">
        <v>37</v>
      </c>
      <c r="C2" s="4" t="s">
        <v>38</v>
      </c>
      <c r="D2" s="4" t="s">
        <v>39</v>
      </c>
    </row>
    <row r="3" spans="1:4" x14ac:dyDescent="0.25">
      <c r="A3" s="6" t="s">
        <v>26</v>
      </c>
      <c r="B3" s="10">
        <v>45147.677731481483</v>
      </c>
      <c r="C3" s="11">
        <v>67</v>
      </c>
      <c r="D3" s="6"/>
    </row>
    <row r="4" spans="1:4" x14ac:dyDescent="0.25">
      <c r="A4" t="s">
        <v>26</v>
      </c>
      <c r="B4" s="5">
        <v>45147.681400462963</v>
      </c>
      <c r="C4" s="2">
        <v>67</v>
      </c>
      <c r="D4" t="s">
        <v>41</v>
      </c>
    </row>
    <row r="5" spans="1:4" x14ac:dyDescent="0.25">
      <c r="A5" s="6" t="s">
        <v>26</v>
      </c>
      <c r="B5" s="10">
        <v>45147.678784722222</v>
      </c>
      <c r="C5" s="11">
        <v>67</v>
      </c>
      <c r="D5" s="6" t="s">
        <v>34</v>
      </c>
    </row>
    <row r="6" spans="1:4" x14ac:dyDescent="0.25">
      <c r="A6" s="6" t="s">
        <v>25</v>
      </c>
      <c r="B6" s="10">
        <v>45146.594444444447</v>
      </c>
      <c r="C6" s="11">
        <v>10</v>
      </c>
      <c r="D6" s="6" t="s">
        <v>40</v>
      </c>
    </row>
    <row r="7" spans="1:4" x14ac:dyDescent="0.25">
      <c r="A7" s="6" t="s">
        <v>25</v>
      </c>
      <c r="B7" s="10">
        <v>45146.594444444447</v>
      </c>
      <c r="C7" s="11">
        <v>12</v>
      </c>
      <c r="D7" s="6" t="s">
        <v>41</v>
      </c>
    </row>
    <row r="8" spans="1:4" x14ac:dyDescent="0.25">
      <c r="A8" s="6" t="s">
        <v>25</v>
      </c>
      <c r="B8" s="10">
        <v>45146.594444444447</v>
      </c>
      <c r="C8" s="7">
        <v>6</v>
      </c>
      <c r="D8" s="6" t="s">
        <v>41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AE86B-DF4A-4A9B-8AC1-5A89559E98F2}">
  <dimension ref="A1:S153"/>
  <sheetViews>
    <sheetView workbookViewId="0">
      <selection activeCell="N23" sqref="N23"/>
    </sheetView>
  </sheetViews>
  <sheetFormatPr defaultRowHeight="15" x14ac:dyDescent="0.25"/>
  <cols>
    <col min="1" max="1" width="16" bestFit="1" customWidth="1"/>
    <col min="2" max="2" width="15.85546875" bestFit="1" customWidth="1"/>
    <col min="3" max="3" width="8" bestFit="1" customWidth="1"/>
    <col min="4" max="4" width="8.7109375" bestFit="1" customWidth="1"/>
    <col min="7" max="7" width="18" bestFit="1" customWidth="1"/>
    <col min="8" max="8" width="13.85546875" bestFit="1" customWidth="1"/>
    <col min="9" max="9" width="18" bestFit="1" customWidth="1"/>
    <col min="10" max="10" width="13.85546875" bestFit="1" customWidth="1"/>
    <col min="18" max="18" width="18" bestFit="1" customWidth="1"/>
    <col min="19" max="19" width="13.85546875" bestFit="1" customWidth="1"/>
  </cols>
  <sheetData>
    <row r="1" spans="1:19" x14ac:dyDescent="0.25">
      <c r="A1" t="s">
        <v>32</v>
      </c>
      <c r="B1" t="s">
        <v>37</v>
      </c>
      <c r="C1" t="s">
        <v>38</v>
      </c>
      <c r="D1" t="s">
        <v>39</v>
      </c>
    </row>
    <row r="2" spans="1:19" x14ac:dyDescent="0.25">
      <c r="A2" s="17" t="s">
        <v>25</v>
      </c>
      <c r="B2" s="5">
        <v>45147.791666666664</v>
      </c>
      <c r="C2">
        <v>27</v>
      </c>
      <c r="D2" s="17" t="s">
        <v>41</v>
      </c>
      <c r="G2" s="18" t="s">
        <v>42</v>
      </c>
      <c r="H2" t="s">
        <v>44</v>
      </c>
      <c r="R2" s="18" t="s">
        <v>42</v>
      </c>
      <c r="S2" t="s">
        <v>44</v>
      </c>
    </row>
    <row r="3" spans="1:19" x14ac:dyDescent="0.25">
      <c r="A3" s="17" t="s">
        <v>25</v>
      </c>
      <c r="B3" s="5">
        <v>45147.775694444441</v>
      </c>
      <c r="C3">
        <v>12</v>
      </c>
      <c r="D3" s="17" t="s">
        <v>34</v>
      </c>
      <c r="G3" s="19" t="s">
        <v>25</v>
      </c>
      <c r="H3" s="17">
        <v>36</v>
      </c>
      <c r="R3" s="19" t="s">
        <v>41</v>
      </c>
      <c r="S3" s="17">
        <v>108</v>
      </c>
    </row>
    <row r="4" spans="1:19" x14ac:dyDescent="0.25">
      <c r="A4" s="17" t="s">
        <v>25</v>
      </c>
      <c r="B4" s="5">
        <v>45147.768750000003</v>
      </c>
      <c r="C4">
        <v>39</v>
      </c>
      <c r="D4" s="17" t="s">
        <v>34</v>
      </c>
      <c r="G4" s="19" t="s">
        <v>27</v>
      </c>
      <c r="H4" s="17">
        <v>108</v>
      </c>
      <c r="R4" s="19" t="s">
        <v>34</v>
      </c>
      <c r="S4" s="17">
        <v>36</v>
      </c>
    </row>
    <row r="5" spans="1:19" x14ac:dyDescent="0.25">
      <c r="A5" s="17" t="s">
        <v>25</v>
      </c>
      <c r="B5" s="5">
        <v>45147.737500000003</v>
      </c>
      <c r="C5">
        <v>60</v>
      </c>
      <c r="D5" s="17" t="s">
        <v>34</v>
      </c>
      <c r="G5" s="19" t="s">
        <v>43</v>
      </c>
      <c r="H5" s="17">
        <v>144</v>
      </c>
      <c r="R5" s="19" t="s">
        <v>43</v>
      </c>
      <c r="S5" s="17">
        <v>144</v>
      </c>
    </row>
    <row r="6" spans="1:19" x14ac:dyDescent="0.25">
      <c r="A6" s="17" t="s">
        <v>25</v>
      </c>
      <c r="B6" s="5">
        <v>45147.73541666667</v>
      </c>
      <c r="C6">
        <v>78</v>
      </c>
      <c r="D6" s="17" t="s">
        <v>41</v>
      </c>
    </row>
    <row r="7" spans="1:19" x14ac:dyDescent="0.25">
      <c r="A7" s="17" t="s">
        <v>25</v>
      </c>
      <c r="B7" s="5">
        <v>45147.722916666666</v>
      </c>
      <c r="C7">
        <v>33</v>
      </c>
      <c r="D7" s="17" t="s">
        <v>34</v>
      </c>
    </row>
    <row r="8" spans="1:19" x14ac:dyDescent="0.25">
      <c r="A8" s="17" t="s">
        <v>25</v>
      </c>
      <c r="B8" s="5">
        <v>45147.71597222222</v>
      </c>
      <c r="C8">
        <v>87</v>
      </c>
      <c r="D8" s="17" t="s">
        <v>41</v>
      </c>
    </row>
    <row r="9" spans="1:19" x14ac:dyDescent="0.25">
      <c r="A9" s="17" t="s">
        <v>25</v>
      </c>
      <c r="B9" s="5">
        <v>45147.711805555555</v>
      </c>
      <c r="C9">
        <v>87</v>
      </c>
      <c r="D9" s="17" t="s">
        <v>41</v>
      </c>
    </row>
    <row r="10" spans="1:19" x14ac:dyDescent="0.25">
      <c r="A10" s="17" t="s">
        <v>25</v>
      </c>
      <c r="B10" s="5">
        <v>45147.703472222223</v>
      </c>
      <c r="C10">
        <v>45</v>
      </c>
      <c r="D10" s="17" t="s">
        <v>41</v>
      </c>
    </row>
    <row r="11" spans="1:19" x14ac:dyDescent="0.25">
      <c r="A11" s="17" t="s">
        <v>25</v>
      </c>
      <c r="B11" s="5">
        <v>45147.701388888891</v>
      </c>
      <c r="C11">
        <v>141</v>
      </c>
      <c r="D11" s="17" t="s">
        <v>41</v>
      </c>
    </row>
    <row r="12" spans="1:19" x14ac:dyDescent="0.25">
      <c r="A12" s="17" t="s">
        <v>25</v>
      </c>
      <c r="B12" s="5">
        <v>45147.6875</v>
      </c>
      <c r="C12">
        <v>14</v>
      </c>
      <c r="D12" s="17" t="s">
        <v>41</v>
      </c>
    </row>
    <row r="13" spans="1:19" x14ac:dyDescent="0.25">
      <c r="A13" s="17" t="s">
        <v>25</v>
      </c>
      <c r="B13" s="5">
        <v>45147.676388888889</v>
      </c>
      <c r="C13">
        <v>45</v>
      </c>
      <c r="D13" s="17" t="s">
        <v>41</v>
      </c>
    </row>
    <row r="14" spans="1:19" x14ac:dyDescent="0.25">
      <c r="A14" s="17" t="s">
        <v>25</v>
      </c>
      <c r="B14" s="5">
        <v>45147.65347222222</v>
      </c>
      <c r="C14">
        <v>72</v>
      </c>
      <c r="D14" s="17" t="s">
        <v>41</v>
      </c>
    </row>
    <row r="15" spans="1:19" x14ac:dyDescent="0.25">
      <c r="A15" s="17" t="s">
        <v>25</v>
      </c>
      <c r="B15" s="5">
        <v>45147.651388888888</v>
      </c>
      <c r="C15">
        <v>42</v>
      </c>
      <c r="D15" s="17" t="s">
        <v>41</v>
      </c>
    </row>
    <row r="16" spans="1:19" x14ac:dyDescent="0.25">
      <c r="A16" s="17" t="s">
        <v>25</v>
      </c>
      <c r="B16" s="5">
        <v>45147.65</v>
      </c>
      <c r="C16">
        <v>42</v>
      </c>
      <c r="D16" s="17" t="s">
        <v>41</v>
      </c>
    </row>
    <row r="17" spans="1:8" x14ac:dyDescent="0.25">
      <c r="A17" s="17" t="s">
        <v>25</v>
      </c>
      <c r="B17" s="5">
        <v>45147.646527777775</v>
      </c>
      <c r="C17">
        <v>30</v>
      </c>
      <c r="D17" s="17" t="s">
        <v>34</v>
      </c>
    </row>
    <row r="18" spans="1:8" x14ac:dyDescent="0.25">
      <c r="A18" s="17" t="s">
        <v>25</v>
      </c>
      <c r="B18" s="5">
        <v>45147.64166666667</v>
      </c>
      <c r="C18">
        <v>24</v>
      </c>
      <c r="D18" s="17" t="s">
        <v>34</v>
      </c>
    </row>
    <row r="19" spans="1:8" x14ac:dyDescent="0.25">
      <c r="A19" s="17" t="s">
        <v>25</v>
      </c>
      <c r="B19" s="5">
        <v>45147.640972222223</v>
      </c>
      <c r="C19">
        <v>14</v>
      </c>
      <c r="D19" s="17" t="s">
        <v>34</v>
      </c>
    </row>
    <row r="20" spans="1:8" x14ac:dyDescent="0.25">
      <c r="A20" s="17" t="s">
        <v>25</v>
      </c>
      <c r="B20" s="5">
        <v>45147.635416666664</v>
      </c>
      <c r="C20">
        <v>75</v>
      </c>
      <c r="D20" s="17" t="s">
        <v>34</v>
      </c>
    </row>
    <row r="21" spans="1:8" x14ac:dyDescent="0.25">
      <c r="A21" s="17" t="s">
        <v>25</v>
      </c>
      <c r="B21" s="5">
        <v>45147.601388888892</v>
      </c>
      <c r="C21">
        <v>96</v>
      </c>
      <c r="D21" s="17" t="s">
        <v>34</v>
      </c>
    </row>
    <row r="22" spans="1:8" x14ac:dyDescent="0.25">
      <c r="A22" s="17" t="s">
        <v>27</v>
      </c>
      <c r="B22" s="5">
        <v>45146.8</v>
      </c>
      <c r="C22">
        <v>78</v>
      </c>
      <c r="D22" s="17" t="s">
        <v>41</v>
      </c>
    </row>
    <row r="23" spans="1:8" x14ac:dyDescent="0.25">
      <c r="A23" s="17" t="s">
        <v>26</v>
      </c>
      <c r="B23" s="5">
        <v>45146.793749999997</v>
      </c>
      <c r="C23">
        <v>51</v>
      </c>
      <c r="D23" s="17" t="s">
        <v>41</v>
      </c>
    </row>
    <row r="24" spans="1:8" x14ac:dyDescent="0.25">
      <c r="A24" s="17" t="s">
        <v>27</v>
      </c>
      <c r="B24" s="5">
        <v>45146.791666666664</v>
      </c>
      <c r="C24">
        <v>78</v>
      </c>
      <c r="D24" s="17" t="s">
        <v>41</v>
      </c>
    </row>
    <row r="25" spans="1:8" x14ac:dyDescent="0.25">
      <c r="A25" s="17" t="s">
        <v>27</v>
      </c>
      <c r="B25" s="5">
        <v>45146.790972222225</v>
      </c>
      <c r="C25">
        <v>35.5</v>
      </c>
      <c r="D25" s="17" t="s">
        <v>34</v>
      </c>
      <c r="G25" s="18" t="s">
        <v>42</v>
      </c>
      <c r="H25" t="s">
        <v>44</v>
      </c>
    </row>
    <row r="26" spans="1:8" x14ac:dyDescent="0.25">
      <c r="A26" s="17" t="s">
        <v>27</v>
      </c>
      <c r="B26" s="5">
        <v>45146.788888888892</v>
      </c>
      <c r="C26">
        <v>41</v>
      </c>
      <c r="D26" s="17" t="s">
        <v>41</v>
      </c>
      <c r="G26" s="19" t="s">
        <v>45</v>
      </c>
      <c r="H26" s="17">
        <v>36</v>
      </c>
    </row>
    <row r="27" spans="1:8" x14ac:dyDescent="0.25">
      <c r="A27" s="17" t="s">
        <v>26</v>
      </c>
      <c r="B27" s="5">
        <v>45146.784722222219</v>
      </c>
      <c r="C27">
        <v>51</v>
      </c>
      <c r="D27" s="17" t="s">
        <v>34</v>
      </c>
      <c r="G27" s="19" t="s">
        <v>46</v>
      </c>
      <c r="H27" s="17">
        <v>108</v>
      </c>
    </row>
    <row r="28" spans="1:8" x14ac:dyDescent="0.25">
      <c r="A28" s="17" t="s">
        <v>27</v>
      </c>
      <c r="B28" s="5">
        <v>45146.777777777781</v>
      </c>
      <c r="C28">
        <v>52</v>
      </c>
      <c r="D28" s="17" t="s">
        <v>41</v>
      </c>
      <c r="G28" s="19" t="s">
        <v>43</v>
      </c>
      <c r="H28" s="17">
        <v>144</v>
      </c>
    </row>
    <row r="29" spans="1:8" x14ac:dyDescent="0.25">
      <c r="A29" s="17" t="s">
        <v>27</v>
      </c>
      <c r="B29" s="5">
        <v>45146.775694444441</v>
      </c>
      <c r="C29">
        <v>62.5</v>
      </c>
      <c r="D29" s="17" t="s">
        <v>41</v>
      </c>
    </row>
    <row r="30" spans="1:8" x14ac:dyDescent="0.25">
      <c r="A30" s="17" t="s">
        <v>27</v>
      </c>
      <c r="B30" s="5">
        <v>45146.775694444441</v>
      </c>
      <c r="C30">
        <v>67</v>
      </c>
      <c r="D30" s="17" t="s">
        <v>34</v>
      </c>
    </row>
    <row r="31" spans="1:8" x14ac:dyDescent="0.25">
      <c r="A31" s="17" t="s">
        <v>27</v>
      </c>
      <c r="B31" s="5">
        <v>45146.771527777775</v>
      </c>
      <c r="C31">
        <v>36</v>
      </c>
      <c r="D31" s="17" t="s">
        <v>34</v>
      </c>
    </row>
    <row r="32" spans="1:8" x14ac:dyDescent="0.25">
      <c r="A32" s="17" t="s">
        <v>27</v>
      </c>
      <c r="B32" s="5">
        <v>45146.769444444442</v>
      </c>
      <c r="C32">
        <v>36</v>
      </c>
      <c r="D32" s="17" t="s">
        <v>41</v>
      </c>
    </row>
    <row r="33" spans="1:4" x14ac:dyDescent="0.25">
      <c r="A33" s="17" t="s">
        <v>26</v>
      </c>
      <c r="B33" s="5">
        <v>45146.765972222223</v>
      </c>
      <c r="C33">
        <v>72</v>
      </c>
      <c r="D33" s="17" t="s">
        <v>41</v>
      </c>
    </row>
    <row r="34" spans="1:4" x14ac:dyDescent="0.25">
      <c r="A34" s="17" t="s">
        <v>27</v>
      </c>
      <c r="B34" s="5">
        <v>45146.76458333333</v>
      </c>
      <c r="C34">
        <v>37</v>
      </c>
      <c r="D34" s="17" t="s">
        <v>41</v>
      </c>
    </row>
    <row r="35" spans="1:4" x14ac:dyDescent="0.25">
      <c r="A35" s="17" t="s">
        <v>27</v>
      </c>
      <c r="B35" s="5">
        <v>45146.761805555558</v>
      </c>
      <c r="C35">
        <v>48</v>
      </c>
      <c r="D35" s="17" t="s">
        <v>41</v>
      </c>
    </row>
    <row r="36" spans="1:4" x14ac:dyDescent="0.25">
      <c r="A36" s="17" t="s">
        <v>27</v>
      </c>
      <c r="B36" s="5">
        <v>45146.758333333331</v>
      </c>
      <c r="C36">
        <v>15.5</v>
      </c>
      <c r="D36" s="17" t="s">
        <v>41</v>
      </c>
    </row>
    <row r="37" spans="1:4" x14ac:dyDescent="0.25">
      <c r="A37" s="17" t="s">
        <v>27</v>
      </c>
      <c r="B37" s="5">
        <v>45146.758333333331</v>
      </c>
      <c r="C37">
        <v>62</v>
      </c>
      <c r="D37" s="17" t="s">
        <v>41</v>
      </c>
    </row>
    <row r="38" spans="1:4" x14ac:dyDescent="0.25">
      <c r="A38" s="17" t="s">
        <v>26</v>
      </c>
      <c r="B38" s="5">
        <v>45146.756944444445</v>
      </c>
      <c r="C38">
        <v>99</v>
      </c>
      <c r="D38" s="17" t="s">
        <v>41</v>
      </c>
    </row>
    <row r="39" spans="1:4" x14ac:dyDescent="0.25">
      <c r="A39" s="17" t="s">
        <v>27</v>
      </c>
      <c r="B39" s="5">
        <v>45146.755555555559</v>
      </c>
      <c r="C39">
        <v>41.5</v>
      </c>
      <c r="D39" s="17" t="s">
        <v>41</v>
      </c>
    </row>
    <row r="40" spans="1:4" x14ac:dyDescent="0.25">
      <c r="A40" s="17" t="s">
        <v>27</v>
      </c>
      <c r="B40" s="5">
        <v>45146.753472222219</v>
      </c>
      <c r="C40">
        <v>57</v>
      </c>
      <c r="D40" s="17" t="s">
        <v>34</v>
      </c>
    </row>
    <row r="41" spans="1:4" x14ac:dyDescent="0.25">
      <c r="A41" s="17" t="s">
        <v>27</v>
      </c>
      <c r="B41" s="5">
        <v>45146.75</v>
      </c>
      <c r="C41">
        <v>30.5</v>
      </c>
      <c r="D41" s="17" t="s">
        <v>41</v>
      </c>
    </row>
    <row r="42" spans="1:4" x14ac:dyDescent="0.25">
      <c r="A42" s="17" t="s">
        <v>26</v>
      </c>
      <c r="B42" s="5">
        <v>45146.748611111114</v>
      </c>
      <c r="C42">
        <v>108</v>
      </c>
      <c r="D42" s="17" t="s">
        <v>34</v>
      </c>
    </row>
    <row r="43" spans="1:4" x14ac:dyDescent="0.25">
      <c r="A43" s="17" t="s">
        <v>27</v>
      </c>
      <c r="B43" s="5">
        <v>45146.747916666667</v>
      </c>
      <c r="C43">
        <v>21</v>
      </c>
      <c r="D43" s="17" t="s">
        <v>41</v>
      </c>
    </row>
    <row r="44" spans="1:4" x14ac:dyDescent="0.25">
      <c r="A44" s="17" t="s">
        <v>27</v>
      </c>
      <c r="B44" s="5">
        <v>45146.747916666667</v>
      </c>
      <c r="C44">
        <v>57</v>
      </c>
      <c r="D44" s="17" t="s">
        <v>41</v>
      </c>
    </row>
    <row r="45" spans="1:4" x14ac:dyDescent="0.25">
      <c r="A45" s="17" t="s">
        <v>27</v>
      </c>
      <c r="B45" s="5">
        <v>45146.747916666667</v>
      </c>
      <c r="C45">
        <v>96</v>
      </c>
      <c r="D45" s="17" t="s">
        <v>41</v>
      </c>
    </row>
    <row r="46" spans="1:4" x14ac:dyDescent="0.25">
      <c r="A46" s="17" t="s">
        <v>26</v>
      </c>
      <c r="B46" s="5">
        <v>45146.743750000001</v>
      </c>
      <c r="C46">
        <v>111</v>
      </c>
      <c r="D46" s="17" t="s">
        <v>34</v>
      </c>
    </row>
    <row r="47" spans="1:4" x14ac:dyDescent="0.25">
      <c r="A47" s="17" t="s">
        <v>27</v>
      </c>
      <c r="B47" s="5">
        <v>45146.742361111108</v>
      </c>
      <c r="C47">
        <v>41.5</v>
      </c>
      <c r="D47" s="17" t="s">
        <v>41</v>
      </c>
    </row>
    <row r="48" spans="1:4" x14ac:dyDescent="0.25">
      <c r="A48" s="17" t="s">
        <v>27</v>
      </c>
      <c r="B48" s="5">
        <v>45146.739583333336</v>
      </c>
      <c r="C48">
        <v>47.5</v>
      </c>
      <c r="D48" s="17" t="s">
        <v>34</v>
      </c>
    </row>
    <row r="49" spans="1:4" x14ac:dyDescent="0.25">
      <c r="A49" s="17" t="s">
        <v>27</v>
      </c>
      <c r="B49" s="5">
        <v>45146.734722222223</v>
      </c>
      <c r="C49">
        <v>48</v>
      </c>
      <c r="D49" s="17" t="s">
        <v>41</v>
      </c>
    </row>
    <row r="50" spans="1:4" x14ac:dyDescent="0.25">
      <c r="A50" s="17" t="s">
        <v>26</v>
      </c>
      <c r="B50" s="5">
        <v>45146.73333333333</v>
      </c>
      <c r="C50">
        <v>78</v>
      </c>
      <c r="D50" s="17" t="s">
        <v>34</v>
      </c>
    </row>
    <row r="51" spans="1:4" x14ac:dyDescent="0.25">
      <c r="A51" s="17" t="s">
        <v>26</v>
      </c>
      <c r="B51" s="5">
        <v>45146.720833333333</v>
      </c>
      <c r="C51">
        <v>54</v>
      </c>
      <c r="D51" s="17" t="s">
        <v>34</v>
      </c>
    </row>
    <row r="52" spans="1:4" x14ac:dyDescent="0.25">
      <c r="A52" s="17" t="s">
        <v>26</v>
      </c>
      <c r="B52" s="5">
        <v>45146.720833333333</v>
      </c>
      <c r="C52">
        <v>48</v>
      </c>
      <c r="D52" s="17" t="s">
        <v>41</v>
      </c>
    </row>
    <row r="53" spans="1:4" x14ac:dyDescent="0.25">
      <c r="A53" s="17" t="s">
        <v>27</v>
      </c>
      <c r="B53" s="5">
        <v>45146.717361111114</v>
      </c>
      <c r="C53">
        <v>62</v>
      </c>
      <c r="D53" s="17" t="s">
        <v>34</v>
      </c>
    </row>
    <row r="54" spans="1:4" x14ac:dyDescent="0.25">
      <c r="A54" s="17" t="s">
        <v>26</v>
      </c>
      <c r="B54" s="5">
        <v>45146.711805555555</v>
      </c>
      <c r="C54">
        <v>99</v>
      </c>
      <c r="D54" s="17" t="s">
        <v>34</v>
      </c>
    </row>
    <row r="55" spans="1:4" x14ac:dyDescent="0.25">
      <c r="A55" s="17" t="s">
        <v>27</v>
      </c>
      <c r="B55" s="5">
        <v>45146.704861111109</v>
      </c>
      <c r="C55">
        <v>62.5</v>
      </c>
      <c r="D55" s="17" t="s">
        <v>41</v>
      </c>
    </row>
    <row r="56" spans="1:4" x14ac:dyDescent="0.25">
      <c r="A56" s="17" t="s">
        <v>27</v>
      </c>
      <c r="B56" s="5">
        <v>45146.702777777777</v>
      </c>
      <c r="C56">
        <v>51</v>
      </c>
      <c r="D56" s="17" t="s">
        <v>41</v>
      </c>
    </row>
    <row r="57" spans="1:4" x14ac:dyDescent="0.25">
      <c r="A57" s="17" t="s">
        <v>27</v>
      </c>
      <c r="B57" s="5">
        <v>45146.701388888891</v>
      </c>
      <c r="C57">
        <v>72</v>
      </c>
      <c r="D57" s="17" t="s">
        <v>41</v>
      </c>
    </row>
    <row r="58" spans="1:4" x14ac:dyDescent="0.25">
      <c r="A58" s="17" t="s">
        <v>26</v>
      </c>
      <c r="B58" s="5">
        <v>45146.700694444444</v>
      </c>
      <c r="C58">
        <v>54</v>
      </c>
      <c r="D58" s="17" t="s">
        <v>34</v>
      </c>
    </row>
    <row r="59" spans="1:4" x14ac:dyDescent="0.25">
      <c r="A59" s="17" t="s">
        <v>26</v>
      </c>
      <c r="B59" s="5">
        <v>45146.686805555553</v>
      </c>
      <c r="C59">
        <v>60</v>
      </c>
      <c r="D59" s="17" t="s">
        <v>41</v>
      </c>
    </row>
    <row r="60" spans="1:4" x14ac:dyDescent="0.25">
      <c r="A60" s="17" t="s">
        <v>27</v>
      </c>
      <c r="B60" s="5">
        <v>45146.685416666667</v>
      </c>
      <c r="C60">
        <v>30.5</v>
      </c>
      <c r="D60" s="17" t="s">
        <v>34</v>
      </c>
    </row>
    <row r="61" spans="1:4" x14ac:dyDescent="0.25">
      <c r="A61" s="17" t="s">
        <v>26</v>
      </c>
      <c r="B61" s="5">
        <v>45146.685416666667</v>
      </c>
      <c r="C61">
        <v>93</v>
      </c>
      <c r="D61" s="17" t="s">
        <v>41</v>
      </c>
    </row>
    <row r="62" spans="1:4" x14ac:dyDescent="0.25">
      <c r="A62" s="17" t="s">
        <v>26</v>
      </c>
      <c r="B62" s="5">
        <v>45146.681944444441</v>
      </c>
      <c r="C62">
        <v>99</v>
      </c>
      <c r="D62" s="17" t="s">
        <v>41</v>
      </c>
    </row>
    <row r="63" spans="1:4" x14ac:dyDescent="0.25">
      <c r="A63" s="17" t="s">
        <v>26</v>
      </c>
      <c r="B63" s="5">
        <v>45146.679861111108</v>
      </c>
      <c r="C63">
        <v>33</v>
      </c>
      <c r="D63" s="17" t="s">
        <v>34</v>
      </c>
    </row>
    <row r="64" spans="1:4" x14ac:dyDescent="0.25">
      <c r="A64" s="17" t="s">
        <v>27</v>
      </c>
      <c r="B64" s="5">
        <v>45146.67291666667</v>
      </c>
      <c r="C64">
        <v>51</v>
      </c>
      <c r="D64" s="17" t="s">
        <v>41</v>
      </c>
    </row>
    <row r="65" spans="1:4" x14ac:dyDescent="0.25">
      <c r="A65" s="17" t="s">
        <v>27</v>
      </c>
      <c r="B65" s="5">
        <v>45146.671527777777</v>
      </c>
      <c r="C65">
        <v>30.5</v>
      </c>
      <c r="D65" s="17" t="s">
        <v>41</v>
      </c>
    </row>
    <row r="66" spans="1:4" x14ac:dyDescent="0.25">
      <c r="A66" s="17" t="s">
        <v>27</v>
      </c>
      <c r="B66" s="5">
        <v>45146.662499999999</v>
      </c>
      <c r="C66">
        <v>114</v>
      </c>
      <c r="D66" s="17" t="s">
        <v>34</v>
      </c>
    </row>
    <row r="67" spans="1:4" x14ac:dyDescent="0.25">
      <c r="A67" s="17" t="s">
        <v>26</v>
      </c>
      <c r="B67" s="5">
        <v>45146.658333333333</v>
      </c>
      <c r="C67">
        <v>93</v>
      </c>
      <c r="D67" s="17" t="s">
        <v>41</v>
      </c>
    </row>
    <row r="68" spans="1:4" x14ac:dyDescent="0.25">
      <c r="A68" s="17" t="s">
        <v>27</v>
      </c>
      <c r="B68" s="5">
        <v>45146.657638888886</v>
      </c>
      <c r="C68">
        <v>57</v>
      </c>
      <c r="D68" s="17" t="s">
        <v>34</v>
      </c>
    </row>
    <row r="69" spans="1:4" x14ac:dyDescent="0.25">
      <c r="A69" s="17" t="s">
        <v>26</v>
      </c>
      <c r="B69" s="5">
        <v>45146.656944444447</v>
      </c>
      <c r="C69">
        <v>96</v>
      </c>
      <c r="D69" s="17" t="s">
        <v>41</v>
      </c>
    </row>
    <row r="70" spans="1:4" x14ac:dyDescent="0.25">
      <c r="A70" s="17" t="s">
        <v>26</v>
      </c>
      <c r="B70" s="5">
        <v>45146.656944444447</v>
      </c>
      <c r="C70">
        <v>102</v>
      </c>
      <c r="D70" s="17" t="s">
        <v>41</v>
      </c>
    </row>
    <row r="71" spans="1:4" x14ac:dyDescent="0.25">
      <c r="A71" s="17" t="s">
        <v>27</v>
      </c>
      <c r="B71" s="5">
        <v>45146.654861111114</v>
      </c>
      <c r="C71">
        <v>40.5</v>
      </c>
      <c r="D71" s="17" t="s">
        <v>41</v>
      </c>
    </row>
    <row r="72" spans="1:4" x14ac:dyDescent="0.25">
      <c r="A72" s="17" t="s">
        <v>26</v>
      </c>
      <c r="B72" s="5">
        <v>45146.65347222222</v>
      </c>
      <c r="C72">
        <v>48</v>
      </c>
      <c r="D72" s="17" t="s">
        <v>41</v>
      </c>
    </row>
    <row r="73" spans="1:4" x14ac:dyDescent="0.25">
      <c r="A73" s="17" t="s">
        <v>27</v>
      </c>
      <c r="B73" s="5">
        <v>45146.65</v>
      </c>
      <c r="C73">
        <v>47.5</v>
      </c>
      <c r="D73" s="17" t="s">
        <v>41</v>
      </c>
    </row>
    <row r="74" spans="1:4" x14ac:dyDescent="0.25">
      <c r="A74" s="17" t="s">
        <v>27</v>
      </c>
      <c r="B74" s="5">
        <v>45146.646527777775</v>
      </c>
      <c r="C74">
        <v>67.5</v>
      </c>
      <c r="D74" s="17" t="s">
        <v>41</v>
      </c>
    </row>
    <row r="75" spans="1:4" x14ac:dyDescent="0.25">
      <c r="A75" s="17" t="s">
        <v>27</v>
      </c>
      <c r="B75" s="5">
        <v>45146.645833333336</v>
      </c>
      <c r="C75">
        <v>42</v>
      </c>
      <c r="D75" s="17" t="s">
        <v>34</v>
      </c>
    </row>
    <row r="76" spans="1:4" x14ac:dyDescent="0.25">
      <c r="A76" s="17" t="s">
        <v>26</v>
      </c>
      <c r="B76" s="5">
        <v>45146.643750000003</v>
      </c>
      <c r="C76">
        <v>54</v>
      </c>
      <c r="D76" s="17" t="s">
        <v>34</v>
      </c>
    </row>
    <row r="77" spans="1:4" x14ac:dyDescent="0.25">
      <c r="A77" s="17" t="s">
        <v>26</v>
      </c>
      <c r="B77" s="5">
        <v>45146.64166666667</v>
      </c>
      <c r="C77">
        <v>39</v>
      </c>
      <c r="D77" s="17" t="s">
        <v>41</v>
      </c>
    </row>
    <row r="78" spans="1:4" x14ac:dyDescent="0.25">
      <c r="A78" s="17" t="s">
        <v>26</v>
      </c>
      <c r="B78" s="5">
        <v>45146.64166666667</v>
      </c>
      <c r="C78">
        <v>42</v>
      </c>
      <c r="D78" s="17" t="s">
        <v>34</v>
      </c>
    </row>
    <row r="79" spans="1:4" x14ac:dyDescent="0.25">
      <c r="A79" s="17" t="s">
        <v>27</v>
      </c>
      <c r="B79" s="5">
        <v>45146.635416666664</v>
      </c>
      <c r="C79">
        <v>55.5</v>
      </c>
      <c r="D79" s="17" t="s">
        <v>34</v>
      </c>
    </row>
    <row r="80" spans="1:4" x14ac:dyDescent="0.25">
      <c r="A80" s="17" t="s">
        <v>27</v>
      </c>
      <c r="B80" s="5">
        <v>45146.632638888892</v>
      </c>
      <c r="C80">
        <v>51</v>
      </c>
      <c r="D80" s="17" t="s">
        <v>41</v>
      </c>
    </row>
    <row r="81" spans="1:4" x14ac:dyDescent="0.25">
      <c r="A81" s="17" t="s">
        <v>27</v>
      </c>
      <c r="B81" s="5">
        <v>45146.630555555559</v>
      </c>
      <c r="C81">
        <v>67</v>
      </c>
      <c r="D81" s="17" t="s">
        <v>34</v>
      </c>
    </row>
    <row r="82" spans="1:4" x14ac:dyDescent="0.25">
      <c r="A82" s="17" t="s">
        <v>27</v>
      </c>
      <c r="B82" s="5">
        <v>45146.630555555559</v>
      </c>
      <c r="C82">
        <v>42</v>
      </c>
      <c r="D82" s="17" t="s">
        <v>41</v>
      </c>
    </row>
    <row r="83" spans="1:4" x14ac:dyDescent="0.25">
      <c r="A83" s="17" t="s">
        <v>27</v>
      </c>
      <c r="B83" s="5">
        <v>45146.628472222219</v>
      </c>
      <c r="C83">
        <v>84</v>
      </c>
      <c r="D83" s="17" t="s">
        <v>34</v>
      </c>
    </row>
    <row r="84" spans="1:4" x14ac:dyDescent="0.25">
      <c r="A84" s="17" t="s">
        <v>26</v>
      </c>
      <c r="B84" s="5">
        <v>45146.62777777778</v>
      </c>
      <c r="C84">
        <v>96</v>
      </c>
      <c r="D84" s="17" t="s">
        <v>34</v>
      </c>
    </row>
    <row r="85" spans="1:4" x14ac:dyDescent="0.25">
      <c r="A85" s="17" t="s">
        <v>27</v>
      </c>
      <c r="B85" s="5">
        <v>45146.622916666667</v>
      </c>
      <c r="C85">
        <v>47</v>
      </c>
      <c r="D85" s="17" t="s">
        <v>41</v>
      </c>
    </row>
    <row r="86" spans="1:4" x14ac:dyDescent="0.25">
      <c r="A86" s="17" t="s">
        <v>27</v>
      </c>
      <c r="B86" s="5">
        <v>45146.621527777781</v>
      </c>
      <c r="C86">
        <v>41.5</v>
      </c>
      <c r="D86" s="17" t="s">
        <v>41</v>
      </c>
    </row>
    <row r="87" spans="1:4" x14ac:dyDescent="0.25">
      <c r="A87" s="17" t="s">
        <v>27</v>
      </c>
      <c r="B87" s="5">
        <v>45146.615972222222</v>
      </c>
      <c r="C87">
        <v>55.5</v>
      </c>
      <c r="D87" s="17" t="s">
        <v>34</v>
      </c>
    </row>
    <row r="88" spans="1:4" x14ac:dyDescent="0.25">
      <c r="A88" s="17" t="s">
        <v>27</v>
      </c>
      <c r="B88" s="5">
        <v>45146.615972222222</v>
      </c>
      <c r="C88">
        <v>54</v>
      </c>
      <c r="D88" s="17" t="s">
        <v>34</v>
      </c>
    </row>
    <row r="89" spans="1:4" x14ac:dyDescent="0.25">
      <c r="A89" s="17" t="s">
        <v>27</v>
      </c>
      <c r="B89" s="5">
        <v>45146.614583333336</v>
      </c>
      <c r="C89">
        <v>42</v>
      </c>
      <c r="D89" s="17" t="s">
        <v>34</v>
      </c>
    </row>
    <row r="90" spans="1:4" x14ac:dyDescent="0.25">
      <c r="A90" s="17" t="s">
        <v>27</v>
      </c>
      <c r="B90" s="5">
        <v>45146.613888888889</v>
      </c>
      <c r="C90">
        <v>40.5</v>
      </c>
      <c r="D90" s="17" t="s">
        <v>34</v>
      </c>
    </row>
    <row r="91" spans="1:4" x14ac:dyDescent="0.25">
      <c r="A91" s="17" t="s">
        <v>27</v>
      </c>
      <c r="B91" s="5">
        <v>45146.612500000003</v>
      </c>
      <c r="C91">
        <v>87</v>
      </c>
      <c r="D91" s="17" t="s">
        <v>41</v>
      </c>
    </row>
    <row r="92" spans="1:4" x14ac:dyDescent="0.25">
      <c r="A92" s="17" t="s">
        <v>27</v>
      </c>
      <c r="B92" s="5">
        <v>45146.611805555556</v>
      </c>
      <c r="C92">
        <v>36</v>
      </c>
      <c r="D92" s="17" t="s">
        <v>41</v>
      </c>
    </row>
    <row r="93" spans="1:4" x14ac:dyDescent="0.25">
      <c r="A93" s="17" t="s">
        <v>27</v>
      </c>
      <c r="B93" s="5">
        <v>45146.61041666667</v>
      </c>
      <c r="C93">
        <v>42</v>
      </c>
      <c r="D93" s="17" t="s">
        <v>41</v>
      </c>
    </row>
    <row r="94" spans="1:4" x14ac:dyDescent="0.25">
      <c r="A94" s="17" t="s">
        <v>26</v>
      </c>
      <c r="B94" s="5">
        <v>45146.603472222225</v>
      </c>
      <c r="C94">
        <v>39</v>
      </c>
      <c r="D94" s="17" t="s">
        <v>41</v>
      </c>
    </row>
    <row r="95" spans="1:4" x14ac:dyDescent="0.25">
      <c r="A95" s="17" t="s">
        <v>27</v>
      </c>
      <c r="B95" s="5">
        <v>45146.602777777778</v>
      </c>
      <c r="C95">
        <v>45.5</v>
      </c>
      <c r="D95" s="17" t="s">
        <v>41</v>
      </c>
    </row>
    <row r="96" spans="1:4" x14ac:dyDescent="0.25">
      <c r="A96" s="17" t="s">
        <v>27</v>
      </c>
      <c r="B96" s="5">
        <v>45146.600694444445</v>
      </c>
      <c r="C96">
        <v>52</v>
      </c>
      <c r="D96" s="17" t="s">
        <v>41</v>
      </c>
    </row>
    <row r="97" spans="1:4" x14ac:dyDescent="0.25">
      <c r="A97" s="17" t="s">
        <v>27</v>
      </c>
      <c r="B97" s="5">
        <v>45146.600694444445</v>
      </c>
      <c r="C97">
        <v>72</v>
      </c>
      <c r="D97" s="17" t="s">
        <v>34</v>
      </c>
    </row>
    <row r="98" spans="1:4" x14ac:dyDescent="0.25">
      <c r="A98" s="17" t="s">
        <v>26</v>
      </c>
      <c r="B98" s="5">
        <v>45145.786805555559</v>
      </c>
      <c r="C98">
        <v>67.5</v>
      </c>
      <c r="D98" s="17" t="s">
        <v>41</v>
      </c>
    </row>
    <row r="99" spans="1:4" x14ac:dyDescent="0.25">
      <c r="A99" s="17" t="s">
        <v>26</v>
      </c>
      <c r="B99" s="5">
        <v>45145.756944444445</v>
      </c>
      <c r="C99">
        <v>62</v>
      </c>
      <c r="D99" s="17" t="s">
        <v>41</v>
      </c>
    </row>
    <row r="100" spans="1:4" x14ac:dyDescent="0.25">
      <c r="A100" s="17" t="s">
        <v>26</v>
      </c>
      <c r="B100" s="5">
        <v>45145.740972222222</v>
      </c>
      <c r="C100">
        <v>41</v>
      </c>
      <c r="D100" s="17" t="s">
        <v>34</v>
      </c>
    </row>
    <row r="101" spans="1:4" x14ac:dyDescent="0.25">
      <c r="A101" s="17" t="s">
        <v>26</v>
      </c>
      <c r="B101" s="5">
        <v>45145.734722222223</v>
      </c>
      <c r="C101">
        <v>52</v>
      </c>
      <c r="D101" s="17" t="s">
        <v>34</v>
      </c>
    </row>
    <row r="102" spans="1:4" x14ac:dyDescent="0.25">
      <c r="A102" s="17" t="s">
        <v>26</v>
      </c>
      <c r="B102" s="5">
        <v>45145.713888888888</v>
      </c>
      <c r="C102">
        <v>50.5</v>
      </c>
      <c r="D102" s="17" t="s">
        <v>41</v>
      </c>
    </row>
    <row r="103" spans="1:4" x14ac:dyDescent="0.25">
      <c r="A103" s="17" t="s">
        <v>26</v>
      </c>
      <c r="B103" s="5">
        <v>45145.6875</v>
      </c>
      <c r="C103">
        <v>45.5</v>
      </c>
      <c r="D103" s="17" t="s">
        <v>34</v>
      </c>
    </row>
    <row r="104" spans="1:4" x14ac:dyDescent="0.25">
      <c r="A104" s="17" t="s">
        <v>26</v>
      </c>
      <c r="B104" s="5">
        <v>45145.675694444442</v>
      </c>
      <c r="C104">
        <v>42.5</v>
      </c>
      <c r="D104" s="17" t="s">
        <v>34</v>
      </c>
    </row>
    <row r="105" spans="1:4" x14ac:dyDescent="0.25">
      <c r="A105" s="17" t="s">
        <v>26</v>
      </c>
      <c r="B105" s="5">
        <v>45145.673611111109</v>
      </c>
      <c r="C105">
        <v>57.5</v>
      </c>
      <c r="D105" s="17" t="s">
        <v>34</v>
      </c>
    </row>
    <row r="106" spans="1:4" x14ac:dyDescent="0.25">
      <c r="A106" s="17" t="s">
        <v>26</v>
      </c>
      <c r="B106" s="5">
        <v>45145.671527777777</v>
      </c>
      <c r="C106">
        <v>47</v>
      </c>
      <c r="D106" s="17" t="s">
        <v>41</v>
      </c>
    </row>
    <row r="107" spans="1:4" x14ac:dyDescent="0.25">
      <c r="A107" s="17" t="s">
        <v>26</v>
      </c>
      <c r="B107" s="5">
        <v>45145.666666666664</v>
      </c>
      <c r="C107">
        <v>31</v>
      </c>
      <c r="D107" s="17" t="s">
        <v>34</v>
      </c>
    </row>
    <row r="108" spans="1:4" x14ac:dyDescent="0.25">
      <c r="A108" s="17" t="s">
        <v>26</v>
      </c>
      <c r="B108" s="5">
        <v>45145.665972222225</v>
      </c>
      <c r="C108">
        <v>45.5</v>
      </c>
      <c r="D108" s="17" t="s">
        <v>41</v>
      </c>
    </row>
    <row r="109" spans="1:4" x14ac:dyDescent="0.25">
      <c r="A109" s="17" t="s">
        <v>26</v>
      </c>
      <c r="B109" s="5">
        <v>45145.663888888892</v>
      </c>
      <c r="C109">
        <v>30.5</v>
      </c>
      <c r="D109" s="17" t="s">
        <v>41</v>
      </c>
    </row>
    <row r="110" spans="1:4" x14ac:dyDescent="0.25">
      <c r="A110" s="17" t="s">
        <v>26</v>
      </c>
      <c r="B110" s="5">
        <v>45145.661805555559</v>
      </c>
      <c r="C110">
        <v>67.5</v>
      </c>
      <c r="D110" s="17" t="s">
        <v>34</v>
      </c>
    </row>
    <row r="111" spans="1:4" x14ac:dyDescent="0.25">
      <c r="A111" s="17" t="s">
        <v>26</v>
      </c>
      <c r="B111" s="5">
        <v>45145.629861111112</v>
      </c>
      <c r="C111">
        <v>52</v>
      </c>
      <c r="D111" s="17" t="s">
        <v>41</v>
      </c>
    </row>
    <row r="112" spans="1:4" x14ac:dyDescent="0.25">
      <c r="A112" s="17" t="s">
        <v>26</v>
      </c>
      <c r="B112" s="5">
        <v>45145.625694444447</v>
      </c>
      <c r="C112">
        <v>55.5</v>
      </c>
      <c r="D112" s="17" t="s">
        <v>41</v>
      </c>
    </row>
    <row r="113" spans="1:4" x14ac:dyDescent="0.25">
      <c r="A113" s="17" t="s">
        <v>26</v>
      </c>
      <c r="B113" s="5">
        <v>45145.617361111108</v>
      </c>
      <c r="C113">
        <v>50.5</v>
      </c>
      <c r="D113" s="17" t="s">
        <v>34</v>
      </c>
    </row>
    <row r="114" spans="1:4" x14ac:dyDescent="0.25">
      <c r="A114" s="17" t="s">
        <v>26</v>
      </c>
      <c r="B114" s="5">
        <v>45145.616666666669</v>
      </c>
      <c r="C114">
        <v>52.5</v>
      </c>
      <c r="D114" s="17" t="s">
        <v>41</v>
      </c>
    </row>
    <row r="115" spans="1:4" x14ac:dyDescent="0.25">
      <c r="A115" s="17" t="s">
        <v>26</v>
      </c>
      <c r="B115" s="5">
        <v>45145.613888888889</v>
      </c>
      <c r="C115">
        <v>35.5</v>
      </c>
      <c r="D115" s="17" t="s">
        <v>41</v>
      </c>
    </row>
    <row r="116" spans="1:4" x14ac:dyDescent="0.25">
      <c r="A116" s="17" t="s">
        <v>26</v>
      </c>
      <c r="B116" s="5">
        <v>45145.609722222223</v>
      </c>
      <c r="C116">
        <v>47</v>
      </c>
      <c r="D116" s="17" t="s">
        <v>41</v>
      </c>
    </row>
    <row r="117" spans="1:4" x14ac:dyDescent="0.25">
      <c r="A117" s="17" t="s">
        <v>26</v>
      </c>
      <c r="B117" s="5">
        <v>45145.607638888891</v>
      </c>
      <c r="C117">
        <v>52.5</v>
      </c>
      <c r="D117" s="17" t="s">
        <v>34</v>
      </c>
    </row>
    <row r="118" spans="1:4" x14ac:dyDescent="0.25">
      <c r="A118" s="17" t="s">
        <v>26</v>
      </c>
      <c r="B118" s="5">
        <v>45145.602777777778</v>
      </c>
      <c r="C118">
        <v>41.5</v>
      </c>
      <c r="D118" s="17" t="s">
        <v>41</v>
      </c>
    </row>
    <row r="119" spans="1:4" x14ac:dyDescent="0.25">
      <c r="A119" s="17" t="s">
        <v>26</v>
      </c>
      <c r="B119" s="5">
        <v>45145.601388888892</v>
      </c>
      <c r="C119">
        <v>40.5</v>
      </c>
      <c r="D119" s="17" t="s">
        <v>34</v>
      </c>
    </row>
    <row r="120" spans="1:4" x14ac:dyDescent="0.25">
      <c r="A120" s="17" t="s">
        <v>25</v>
      </c>
      <c r="B120" s="5">
        <v>45144.796527777777</v>
      </c>
      <c r="C120">
        <v>57.5</v>
      </c>
      <c r="D120" s="17" t="s">
        <v>34</v>
      </c>
    </row>
    <row r="121" spans="1:4" x14ac:dyDescent="0.25">
      <c r="A121" s="17" t="s">
        <v>25</v>
      </c>
      <c r="B121" s="5">
        <v>45144.793749999997</v>
      </c>
      <c r="C121">
        <v>41</v>
      </c>
      <c r="D121" s="17" t="s">
        <v>41</v>
      </c>
    </row>
    <row r="122" spans="1:4" x14ac:dyDescent="0.25">
      <c r="A122" s="17" t="s">
        <v>25</v>
      </c>
      <c r="B122" s="5">
        <v>45144.787499999999</v>
      </c>
      <c r="C122">
        <v>36</v>
      </c>
      <c r="D122" s="17" t="s">
        <v>41</v>
      </c>
    </row>
    <row r="123" spans="1:4" x14ac:dyDescent="0.25">
      <c r="A123" s="17" t="s">
        <v>25</v>
      </c>
      <c r="B123" s="5">
        <v>45144.780555555553</v>
      </c>
      <c r="C123">
        <v>26</v>
      </c>
      <c r="D123" s="17" t="s">
        <v>41</v>
      </c>
    </row>
    <row r="124" spans="1:4" x14ac:dyDescent="0.25">
      <c r="A124" s="17" t="s">
        <v>25</v>
      </c>
      <c r="B124" s="5">
        <v>45144.77847222222</v>
      </c>
      <c r="C124">
        <v>35.5</v>
      </c>
      <c r="D124" s="17" t="s">
        <v>41</v>
      </c>
    </row>
    <row r="125" spans="1:4" x14ac:dyDescent="0.25">
      <c r="A125" s="17" t="s">
        <v>25</v>
      </c>
      <c r="B125" s="5">
        <v>45144.768750000003</v>
      </c>
      <c r="C125">
        <v>72.5</v>
      </c>
      <c r="D125" s="17" t="s">
        <v>41</v>
      </c>
    </row>
    <row r="126" spans="1:4" x14ac:dyDescent="0.25">
      <c r="A126" s="17" t="s">
        <v>25</v>
      </c>
      <c r="B126" s="5">
        <v>45144.751388888886</v>
      </c>
      <c r="C126">
        <v>67.5</v>
      </c>
      <c r="D126" s="17" t="s">
        <v>41</v>
      </c>
    </row>
    <row r="127" spans="1:4" x14ac:dyDescent="0.25">
      <c r="A127" s="17" t="s">
        <v>25</v>
      </c>
      <c r="B127" s="5">
        <v>45144.744444444441</v>
      </c>
      <c r="C127">
        <v>72.5</v>
      </c>
      <c r="D127" s="17" t="s">
        <v>41</v>
      </c>
    </row>
    <row r="128" spans="1:4" x14ac:dyDescent="0.25">
      <c r="A128" s="17" t="s">
        <v>25</v>
      </c>
      <c r="B128" s="5">
        <v>45144.73541666667</v>
      </c>
      <c r="C128">
        <v>56.5</v>
      </c>
      <c r="D128" s="17" t="s">
        <v>34</v>
      </c>
    </row>
    <row r="129" spans="1:4" x14ac:dyDescent="0.25">
      <c r="A129" s="17" t="s">
        <v>25</v>
      </c>
      <c r="B129" s="5">
        <v>45144.734722222223</v>
      </c>
      <c r="C129">
        <v>40.5</v>
      </c>
      <c r="D129" s="17" t="s">
        <v>41</v>
      </c>
    </row>
    <row r="130" spans="1:4" x14ac:dyDescent="0.25">
      <c r="A130" s="17" t="s">
        <v>25</v>
      </c>
      <c r="B130" s="5">
        <v>45144.729861111111</v>
      </c>
      <c r="C130">
        <v>57</v>
      </c>
      <c r="D130" s="17" t="s">
        <v>41</v>
      </c>
    </row>
    <row r="131" spans="1:4" x14ac:dyDescent="0.25">
      <c r="A131" s="17" t="s">
        <v>25</v>
      </c>
      <c r="B131" s="5">
        <v>45144.724999999999</v>
      </c>
      <c r="C131">
        <v>40.5</v>
      </c>
      <c r="D131" s="17" t="s">
        <v>34</v>
      </c>
    </row>
    <row r="132" spans="1:4" x14ac:dyDescent="0.25">
      <c r="A132" s="17" t="s">
        <v>25</v>
      </c>
      <c r="B132" s="5">
        <v>45144.719444444447</v>
      </c>
      <c r="C132">
        <v>62</v>
      </c>
      <c r="D132" s="17" t="s">
        <v>41</v>
      </c>
    </row>
    <row r="133" spans="1:4" x14ac:dyDescent="0.25">
      <c r="A133" s="17" t="s">
        <v>25</v>
      </c>
      <c r="B133" s="5">
        <v>45144.717361111114</v>
      </c>
      <c r="C133">
        <v>52</v>
      </c>
      <c r="D133" s="17" t="s">
        <v>41</v>
      </c>
    </row>
    <row r="134" spans="1:4" x14ac:dyDescent="0.25">
      <c r="A134" s="17" t="s">
        <v>25</v>
      </c>
      <c r="B134" s="5">
        <v>45144.712500000001</v>
      </c>
      <c r="C134">
        <v>61.5</v>
      </c>
      <c r="D134" s="17" t="s">
        <v>41</v>
      </c>
    </row>
    <row r="135" spans="1:4" x14ac:dyDescent="0.25">
      <c r="A135" s="17" t="s">
        <v>25</v>
      </c>
      <c r="B135" s="5">
        <v>45144.705555555556</v>
      </c>
      <c r="C135">
        <v>46.5</v>
      </c>
      <c r="D135" s="17" t="s">
        <v>41</v>
      </c>
    </row>
    <row r="136" spans="1:4" x14ac:dyDescent="0.25">
      <c r="A136" s="17" t="s">
        <v>25</v>
      </c>
      <c r="B136" s="5">
        <v>45144.702777777777</v>
      </c>
      <c r="C136">
        <v>20.5</v>
      </c>
      <c r="D136" s="17" t="s">
        <v>41</v>
      </c>
    </row>
    <row r="137" spans="1:4" x14ac:dyDescent="0.25">
      <c r="A137" s="17" t="s">
        <v>25</v>
      </c>
      <c r="B137" s="5">
        <v>45144.700694444444</v>
      </c>
      <c r="C137">
        <v>61.5</v>
      </c>
      <c r="D137" s="17" t="s">
        <v>34</v>
      </c>
    </row>
    <row r="138" spans="1:4" x14ac:dyDescent="0.25">
      <c r="A138" s="17" t="s">
        <v>25</v>
      </c>
      <c r="B138" s="5">
        <v>45144.693749999999</v>
      </c>
      <c r="C138">
        <v>46.5</v>
      </c>
      <c r="D138" s="17" t="s">
        <v>41</v>
      </c>
    </row>
    <row r="139" spans="1:4" x14ac:dyDescent="0.25">
      <c r="A139" s="17" t="s">
        <v>25</v>
      </c>
      <c r="B139" s="5">
        <v>45144.686805555553</v>
      </c>
      <c r="C139">
        <v>45.5</v>
      </c>
      <c r="D139" s="17" t="s">
        <v>41</v>
      </c>
    </row>
    <row r="140" spans="1:4" x14ac:dyDescent="0.25">
      <c r="A140" s="17" t="s">
        <v>25</v>
      </c>
      <c r="B140" s="5">
        <v>45144.67291666667</v>
      </c>
      <c r="C140">
        <v>57</v>
      </c>
      <c r="D140" s="17" t="s">
        <v>41</v>
      </c>
    </row>
    <row r="141" spans="1:4" x14ac:dyDescent="0.25">
      <c r="A141" s="17" t="s">
        <v>25</v>
      </c>
      <c r="B141" s="5">
        <v>45144.67083333333</v>
      </c>
      <c r="C141">
        <v>67</v>
      </c>
      <c r="D141" s="17" t="s">
        <v>34</v>
      </c>
    </row>
    <row r="142" spans="1:4" x14ac:dyDescent="0.25">
      <c r="A142" s="17" t="s">
        <v>25</v>
      </c>
      <c r="B142" s="5">
        <v>45144.659722222219</v>
      </c>
      <c r="C142">
        <v>51</v>
      </c>
      <c r="D142" s="17" t="s">
        <v>41</v>
      </c>
    </row>
    <row r="143" spans="1:4" x14ac:dyDescent="0.25">
      <c r="A143" s="17" t="s">
        <v>25</v>
      </c>
      <c r="B143" s="5">
        <v>45144.658333333333</v>
      </c>
      <c r="C143">
        <v>36.5</v>
      </c>
      <c r="D143" s="17" t="s">
        <v>41</v>
      </c>
    </row>
    <row r="144" spans="1:4" x14ac:dyDescent="0.25">
      <c r="A144" s="17" t="s">
        <v>25</v>
      </c>
      <c r="B144" s="5">
        <v>45144.658333333333</v>
      </c>
      <c r="C144">
        <v>57</v>
      </c>
      <c r="D144" s="17" t="s">
        <v>34</v>
      </c>
    </row>
    <row r="145" spans="1:4" x14ac:dyDescent="0.25">
      <c r="A145" s="17" t="s">
        <v>25</v>
      </c>
      <c r="B145" s="5">
        <v>45144.651388888888</v>
      </c>
      <c r="C145">
        <v>35.5</v>
      </c>
      <c r="D145" s="17" t="s">
        <v>41</v>
      </c>
    </row>
    <row r="146" spans="1:4" x14ac:dyDescent="0.25">
      <c r="A146" s="17" t="s">
        <v>25</v>
      </c>
      <c r="B146" s="5">
        <v>45144.644444444442</v>
      </c>
      <c r="C146">
        <v>52</v>
      </c>
      <c r="D146" s="17" t="s">
        <v>41</v>
      </c>
    </row>
    <row r="147" spans="1:4" x14ac:dyDescent="0.25">
      <c r="A147" s="17" t="s">
        <v>25</v>
      </c>
      <c r="B147" s="5">
        <v>45144.633333333331</v>
      </c>
      <c r="C147">
        <v>26.5</v>
      </c>
      <c r="D147" s="17" t="s">
        <v>34</v>
      </c>
    </row>
    <row r="148" spans="1:4" x14ac:dyDescent="0.25">
      <c r="A148" s="17" t="s">
        <v>25</v>
      </c>
      <c r="B148" s="5">
        <v>45144.629861111112</v>
      </c>
      <c r="C148">
        <v>52</v>
      </c>
      <c r="D148" s="17" t="s">
        <v>41</v>
      </c>
    </row>
    <row r="149" spans="1:4" x14ac:dyDescent="0.25">
      <c r="A149" s="17" t="s">
        <v>25</v>
      </c>
      <c r="B149" s="5">
        <v>45144.622916666667</v>
      </c>
      <c r="C149">
        <v>47</v>
      </c>
      <c r="D149" s="17" t="s">
        <v>34</v>
      </c>
    </row>
    <row r="150" spans="1:4" x14ac:dyDescent="0.25">
      <c r="A150" s="17" t="s">
        <v>25</v>
      </c>
      <c r="B150" s="5">
        <v>45144.621527777781</v>
      </c>
      <c r="C150">
        <v>67.5</v>
      </c>
      <c r="D150" s="17" t="s">
        <v>41</v>
      </c>
    </row>
    <row r="151" spans="1:4" x14ac:dyDescent="0.25">
      <c r="A151" s="17" t="s">
        <v>25</v>
      </c>
      <c r="B151" s="5">
        <v>45144.609722222223</v>
      </c>
      <c r="C151">
        <v>57</v>
      </c>
      <c r="D151" s="17" t="s">
        <v>41</v>
      </c>
    </row>
    <row r="152" spans="1:4" x14ac:dyDescent="0.25">
      <c r="A152" s="17" t="s">
        <v>25</v>
      </c>
      <c r="B152" s="5">
        <v>45144.606944444444</v>
      </c>
      <c r="C152">
        <v>62</v>
      </c>
      <c r="D152" s="17" t="s">
        <v>34</v>
      </c>
    </row>
    <row r="153" spans="1:4" x14ac:dyDescent="0.25">
      <c r="A153" s="17" t="s">
        <v>25</v>
      </c>
      <c r="B153" s="5">
        <v>45144.605555555558</v>
      </c>
      <c r="C153">
        <v>56</v>
      </c>
      <c r="D153" s="17" t="s">
        <v>41</v>
      </c>
    </row>
  </sheetData>
  <pageMargins left="0.511811024" right="0.511811024" top="0.78740157499999996" bottom="0.78740157499999996" header="0.31496062000000002" footer="0.31496062000000002"/>
  <drawing r:id="rId4"/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C05EA-589A-4075-8470-AD365F10A18E}">
  <dimension ref="A1:F30"/>
  <sheetViews>
    <sheetView showGridLines="0" tabSelected="1" workbookViewId="0">
      <selection activeCell="E4" sqref="E4"/>
    </sheetView>
  </sheetViews>
  <sheetFormatPr defaultRowHeight="15" x14ac:dyDescent="0.25"/>
  <cols>
    <col min="1" max="1" width="47.28515625" customWidth="1"/>
    <col min="2" max="2" width="25.7109375" customWidth="1"/>
  </cols>
  <sheetData>
    <row r="1" spans="1:2" ht="21" x14ac:dyDescent="0.35">
      <c r="A1" s="21" t="s">
        <v>47</v>
      </c>
      <c r="B1" s="20"/>
    </row>
    <row r="30" spans="6:6" x14ac:dyDescent="0.25">
      <c r="F30" t="s">
        <v>48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883A3F-CFA2-4691-9FB9-8A458BD9FF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cardapio</vt:lpstr>
      <vt:lpstr>comanda</vt:lpstr>
      <vt:lpstr>dados</vt:lpstr>
      <vt:lpstr>dados (2)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Des</cp:lastModifiedBy>
  <dcterms:created xsi:type="dcterms:W3CDTF">2023-08-07T16:38:11Z</dcterms:created>
  <dcterms:modified xsi:type="dcterms:W3CDTF">2023-08-11T19:12:36Z</dcterms:modified>
</cp:coreProperties>
</file>
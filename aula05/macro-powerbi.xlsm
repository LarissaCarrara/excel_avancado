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s\Documents\excel_avancado\aula05\"/>
    </mc:Choice>
  </mc:AlternateContent>
  <xr:revisionPtr revIDLastSave="0" documentId="13_ncr:1_{457FB3EC-3167-44BC-A44D-126A4E6AC6D3}" xr6:coauthVersionLast="47" xr6:coauthVersionMax="47" xr10:uidLastSave="{00000000-0000-0000-0000-000000000000}"/>
  <bookViews>
    <workbookView xWindow="-28920" yWindow="5835" windowWidth="29040" windowHeight="15840" activeTab="3" xr2:uid="{DC85D09C-27BA-4235-96CD-618791A878EB}"/>
  </bookViews>
  <sheets>
    <sheet name="Planilha1" sheetId="1" r:id="rId1"/>
    <sheet name="cardapio" sheetId="5" r:id="rId2"/>
    <sheet name="comanda" sheetId="6" r:id="rId3"/>
    <sheet name="dado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6" l="1"/>
  <c r="D4" i="6" s="1"/>
  <c r="C5" i="6"/>
  <c r="D5" i="6" s="1"/>
  <c r="C6" i="6"/>
  <c r="D6" i="6" s="1"/>
  <c r="C7" i="6"/>
  <c r="D7" i="6" s="1"/>
  <c r="C9" i="6"/>
  <c r="D9" i="6" s="1"/>
  <c r="C10" i="6"/>
  <c r="D10" i="6" s="1"/>
  <c r="C11" i="6"/>
  <c r="D11" i="6" s="1"/>
  <c r="C12" i="6"/>
  <c r="D12" i="6" s="1"/>
  <c r="C13" i="6"/>
  <c r="D13" i="6" s="1"/>
  <c r="C14" i="6"/>
  <c r="D14" i="6" s="1"/>
  <c r="C15" i="6"/>
  <c r="D15" i="6" s="1"/>
  <c r="C8" i="6"/>
  <c r="D8" i="6" s="1"/>
  <c r="A9" i="1"/>
  <c r="A8" i="1"/>
  <c r="A11" i="1"/>
  <c r="A10" i="1"/>
  <c r="D16" i="6" l="1"/>
  <c r="D18" i="6" s="1"/>
</calcChain>
</file>

<file path=xl/sharedStrings.xml><?xml version="1.0" encoding="utf-8"?>
<sst xmlns="http://schemas.openxmlformats.org/spreadsheetml/2006/main" count="56" uniqueCount="42">
  <si>
    <t>Cardápio</t>
  </si>
  <si>
    <t>Produto</t>
  </si>
  <si>
    <t>Coxinha de Frango</t>
  </si>
  <si>
    <t>Coxinha de Carne Seca</t>
  </si>
  <si>
    <t>Coxinha de Costela</t>
  </si>
  <si>
    <t>Risole de Frango com Requeijão</t>
  </si>
  <si>
    <t>Risole de Carne</t>
  </si>
  <si>
    <t>Salsicha frita</t>
  </si>
  <si>
    <t>Risole de Presunto e Queijo</t>
  </si>
  <si>
    <t>Pastel Silmples</t>
  </si>
  <si>
    <t>Pastel Especial</t>
  </si>
  <si>
    <t>Espeto de Frango</t>
  </si>
  <si>
    <t>Salgado Assado (Diersos)</t>
  </si>
  <si>
    <t>Pão de queijo</t>
  </si>
  <si>
    <t>Pão de queijo recheado</t>
  </si>
  <si>
    <t>Sobremesa Simples</t>
  </si>
  <si>
    <t>Sobremesa especial</t>
  </si>
  <si>
    <t>Refrigerante Lata</t>
  </si>
  <si>
    <t>Refrigerante KS</t>
  </si>
  <si>
    <t>Suco natural</t>
  </si>
  <si>
    <t>Suco máquina</t>
  </si>
  <si>
    <t>Preço</t>
  </si>
  <si>
    <t xml:space="preserve"> Coxinha de Frango m. Batata</t>
  </si>
  <si>
    <t>-</t>
  </si>
  <si>
    <t>Funcionários</t>
  </si>
  <si>
    <t>Arnaldo Antunes</t>
  </si>
  <si>
    <t>Marcelo Silva</t>
  </si>
  <si>
    <t>Mariana Lima</t>
  </si>
  <si>
    <t>Comanda</t>
  </si>
  <si>
    <t>Quantidade</t>
  </si>
  <si>
    <t>Subtotal</t>
  </si>
  <si>
    <t>Total</t>
  </si>
  <si>
    <t>Funcionário</t>
  </si>
  <si>
    <t>Troco</t>
  </si>
  <si>
    <t>Dinheiro</t>
  </si>
  <si>
    <t>c</t>
  </si>
  <si>
    <t>Caixa</t>
  </si>
  <si>
    <t>Quando</t>
  </si>
  <si>
    <t>Valor</t>
  </si>
  <si>
    <t>Tipo</t>
  </si>
  <si>
    <t>Dinhiero</t>
  </si>
  <si>
    <t>Cartão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</si>
</sst>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</cellStyleXfs>
  <cellXfs count="17">
    <xf numFmtId="0" fontId="0" fillId="0" borderId="0" xfId="0"/>
    <xf numFmtId="14" fontId="0" fillId="0" borderId="0" xfId="0" applyNumberFormat="1"/>
    <xf numFmtId="44" fontId="0" fillId="0" borderId="0" xfId="1" applyFont="1"/>
    <xf numFmtId="0" fontId="1" fillId="4" borderId="0" xfId="4"/>
    <xf numFmtId="0" fontId="1" fillId="3" borderId="0" xfId="3"/>
    <xf numFmtId="22" fontId="0" fillId="0" borderId="0" xfId="0" applyNumberFormat="1"/>
    <xf numFmtId="0" fontId="1" fillId="4" borderId="0" xfId="4" applyAlignment="1">
      <alignment horizontal="center"/>
    </xf>
    <xf numFmtId="0" fontId="2" fillId="4" borderId="0" xfId="4" applyFont="1" applyAlignment="1">
      <alignment horizontal="center"/>
    </xf>
    <xf numFmtId="0" fontId="1" fillId="2" borderId="0" xfId="2"/>
    <xf numFmtId="44" fontId="1" fillId="2" borderId="0" xfId="2" applyNumberFormat="1"/>
    <xf numFmtId="0" fontId="1" fillId="2" borderId="0" xfId="2" applyAlignment="1">
      <alignment horizontal="center" vertical="center"/>
    </xf>
    <xf numFmtId="0" fontId="1" fillId="3" borderId="0" xfId="3" applyBorder="1"/>
    <xf numFmtId="22" fontId="1" fillId="2" borderId="0" xfId="2" applyNumberFormat="1"/>
    <xf numFmtId="44" fontId="1" fillId="2" borderId="0" xfId="1" applyFill="1"/>
    <xf numFmtId="44" fontId="1" fillId="3" borderId="0" xfId="3" applyNumberFormat="1" applyBorder="1"/>
    <xf numFmtId="0" fontId="0" fillId="0" borderId="0" xfId="0" applyProtection="1">
      <protection locked="0"/>
    </xf>
    <xf numFmtId="0" fontId="1" fillId="2" borderId="0" xfId="2" applyProtection="1">
      <protection locked="0"/>
    </xf>
  </cellXfs>
  <cellStyles count="5">
    <cellStyle name="20% - Ênfase6" xfId="2" builtinId="50"/>
    <cellStyle name="40% - Ênfase6" xfId="3" builtinId="51"/>
    <cellStyle name="60% - Ênfase6" xfId="4" builtinId="52"/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21771</xdr:colOff>
      <xdr:row>2</xdr:row>
      <xdr:rowOff>65314</xdr:rowOff>
    </xdr:from>
    <xdr:to>
      <xdr:col>4</xdr:col>
      <xdr:colOff>527957</xdr:colOff>
      <xdr:row>4</xdr:row>
      <xdr:rowOff>146957</xdr:rowOff>
    </xdr:to>
    <xdr:sp macro="[0]!Macro1" textlink="">
      <xdr:nvSpPr>
        <xdr:cNvPr id="2" name="Pentágono 1">
          <a:extLst>
            <a:ext uri="{FF2B5EF4-FFF2-40B4-BE49-F238E27FC236}">
              <a16:creationId xmlns:a16="http://schemas.microsoft.com/office/drawing/2014/main" id="{BB6886B9-B842-2ABA-2C58-9362A0E319A2}"/>
            </a:ext>
          </a:extLst>
        </xdr:cNvPr>
        <xdr:cNvSpPr/>
      </xdr:nvSpPr>
      <xdr:spPr>
        <a:xfrm>
          <a:off x="2460171" y="446314"/>
          <a:ext cx="506186" cy="462643"/>
        </a:xfrm>
        <a:prstGeom prst="pent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oi</a:t>
          </a:r>
        </a:p>
      </xdr:txBody>
    </xdr:sp>
    <xdr:clientData/>
  </xdr:twoCellAnchor>
  <xdr:twoCellAnchor>
    <xdr:from>
      <xdr:col>5</xdr:col>
      <xdr:colOff>364671</xdr:colOff>
      <xdr:row>2</xdr:row>
      <xdr:rowOff>5443</xdr:rowOff>
    </xdr:from>
    <xdr:to>
      <xdr:col>7</xdr:col>
      <xdr:colOff>70756</xdr:colOff>
      <xdr:row>5</xdr:row>
      <xdr:rowOff>27214</xdr:rowOff>
    </xdr:to>
    <xdr:sp macro="[0]!Macro2" textlink="">
      <xdr:nvSpPr>
        <xdr:cNvPr id="3" name="Hexágono 2">
          <a:extLst>
            <a:ext uri="{FF2B5EF4-FFF2-40B4-BE49-F238E27FC236}">
              <a16:creationId xmlns:a16="http://schemas.microsoft.com/office/drawing/2014/main" id="{0B94FCF7-BF16-5D4D-0601-935FF53E3480}"/>
            </a:ext>
          </a:extLst>
        </xdr:cNvPr>
        <xdr:cNvSpPr/>
      </xdr:nvSpPr>
      <xdr:spPr>
        <a:xfrm>
          <a:off x="3412671" y="386443"/>
          <a:ext cx="925285" cy="593271"/>
        </a:xfrm>
        <a:prstGeom prst="hex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apagar</a:t>
          </a:r>
        </a:p>
        <a:p>
          <a:pPr algn="ctr"/>
          <a:endParaRPr lang="pt-BR" sz="1100"/>
        </a:p>
      </xdr:txBody>
    </xdr:sp>
    <xdr:clientData/>
  </xdr:twoCellAnchor>
  <xdr:twoCellAnchor>
    <xdr:from>
      <xdr:col>7</xdr:col>
      <xdr:colOff>500743</xdr:colOff>
      <xdr:row>2</xdr:row>
      <xdr:rowOff>32657</xdr:rowOff>
    </xdr:from>
    <xdr:to>
      <xdr:col>9</xdr:col>
      <xdr:colOff>429986</xdr:colOff>
      <xdr:row>5</xdr:row>
      <xdr:rowOff>174171</xdr:rowOff>
    </xdr:to>
    <xdr:sp macro="[0]!verificaCelula" textlink="">
      <xdr:nvSpPr>
        <xdr:cNvPr id="4" name="Losango 3">
          <a:extLst>
            <a:ext uri="{FF2B5EF4-FFF2-40B4-BE49-F238E27FC236}">
              <a16:creationId xmlns:a16="http://schemas.microsoft.com/office/drawing/2014/main" id="{F857E6B2-2A37-ACB1-6F31-30B7A943F8A1}"/>
            </a:ext>
          </a:extLst>
        </xdr:cNvPr>
        <xdr:cNvSpPr/>
      </xdr:nvSpPr>
      <xdr:spPr>
        <a:xfrm>
          <a:off x="4904014" y="413657"/>
          <a:ext cx="1148443" cy="713014"/>
        </a:xfrm>
        <a:prstGeom prst="diamond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teste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9525</xdr:rowOff>
    </xdr:from>
    <xdr:to>
      <xdr:col>6</xdr:col>
      <xdr:colOff>590550</xdr:colOff>
      <xdr:row>3</xdr:row>
      <xdr:rowOff>180975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A3774E62-BFC3-4B8D-AB25-1358DD03D17B}"/>
            </a:ext>
          </a:extLst>
        </xdr:cNvPr>
        <xdr:cNvSpPr/>
      </xdr:nvSpPr>
      <xdr:spPr>
        <a:xfrm>
          <a:off x="11182350" y="390525"/>
          <a:ext cx="1200150" cy="3619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Limpar</a:t>
          </a:r>
        </a:p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590550</xdr:colOff>
      <xdr:row>6</xdr:row>
      <xdr:rowOff>171450</xdr:rowOff>
    </xdr:to>
    <xdr:sp macro="[0]!dinheiro" textlink="">
      <xdr:nvSpPr>
        <xdr:cNvPr id="3" name="Retângulo 2">
          <a:extLst>
            <a:ext uri="{FF2B5EF4-FFF2-40B4-BE49-F238E27FC236}">
              <a16:creationId xmlns:a16="http://schemas.microsoft.com/office/drawing/2014/main" id="{E6D78977-1F98-4577-8E34-24C9975CAE7E}"/>
            </a:ext>
          </a:extLst>
        </xdr:cNvPr>
        <xdr:cNvSpPr/>
      </xdr:nvSpPr>
      <xdr:spPr>
        <a:xfrm>
          <a:off x="11182350" y="952500"/>
          <a:ext cx="1200150" cy="3619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Dinheiro</a:t>
          </a:r>
        </a:p>
        <a:p>
          <a:pPr algn="l"/>
          <a:endParaRPr lang="pt-BR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590550</xdr:colOff>
      <xdr:row>9</xdr:row>
      <xdr:rowOff>171450</xdr:rowOff>
    </xdr:to>
    <xdr:sp macro="[0]!cartao" textlink="">
      <xdr:nvSpPr>
        <xdr:cNvPr id="4" name="Retângulo 3">
          <a:extLst>
            <a:ext uri="{FF2B5EF4-FFF2-40B4-BE49-F238E27FC236}">
              <a16:creationId xmlns:a16="http://schemas.microsoft.com/office/drawing/2014/main" id="{031ABBE4-DC00-485B-ACA7-AAECF054F9EF}"/>
            </a:ext>
          </a:extLst>
        </xdr:cNvPr>
        <xdr:cNvSpPr/>
      </xdr:nvSpPr>
      <xdr:spPr>
        <a:xfrm>
          <a:off x="11182350" y="1524000"/>
          <a:ext cx="1200150" cy="36195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Cartão</a:t>
          </a:r>
        </a:p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B901-8E13-4D35-B419-B886A5B4301B}">
  <sheetPr codeName="Planilha1"/>
  <dimension ref="A8:C11"/>
  <sheetViews>
    <sheetView zoomScale="175" zoomScaleNormal="175" workbookViewId="0">
      <selection activeCell="I9" sqref="I9"/>
    </sheetView>
  </sheetViews>
  <sheetFormatPr defaultRowHeight="15" x14ac:dyDescent="0.25"/>
  <cols>
    <col min="1" max="1" width="11.140625" bestFit="1" customWidth="1"/>
  </cols>
  <sheetData>
    <row r="8" spans="1:3" x14ac:dyDescent="0.25">
      <c r="A8" s="1">
        <f ca="1">TODAY()</f>
        <v>45147</v>
      </c>
      <c r="C8">
        <v>5</v>
      </c>
    </row>
    <row r="9" spans="1:3" x14ac:dyDescent="0.25">
      <c r="A9" t="str">
        <f>ROMAN(55)</f>
        <v>LV</v>
      </c>
    </row>
    <row r="10" spans="1:3" x14ac:dyDescent="0.25">
      <c r="A10" t="str">
        <f>parimpar(5)</f>
        <v>Impar</v>
      </c>
    </row>
    <row r="11" spans="1:3" x14ac:dyDescent="0.25">
      <c r="A11" t="str">
        <f>extenso(11)</f>
        <v>vai até 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EFA8-37DB-4DE0-AC6C-7382A0171900}">
  <sheetPr codeName="Planilha2"/>
  <dimension ref="A2:P24"/>
  <sheetViews>
    <sheetView workbookViewId="0">
      <selection activeCell="B10" sqref="B10"/>
    </sheetView>
  </sheetViews>
  <sheetFormatPr defaultRowHeight="15" x14ac:dyDescent="0.25"/>
  <cols>
    <col min="1" max="1" width="34.7109375" customWidth="1"/>
    <col min="2" max="2" width="9.5703125" bestFit="1" customWidth="1"/>
    <col min="5" max="5" width="19" customWidth="1"/>
    <col min="9" max="9" width="18.7109375" customWidth="1"/>
    <col min="10" max="10" width="12.5703125" customWidth="1"/>
  </cols>
  <sheetData>
    <row r="2" spans="1:5" x14ac:dyDescent="0.25">
      <c r="A2" s="6" t="s">
        <v>0</v>
      </c>
      <c r="B2" s="6"/>
      <c r="E2" s="3" t="s">
        <v>24</v>
      </c>
    </row>
    <row r="3" spans="1:5" x14ac:dyDescent="0.25">
      <c r="A3" s="4" t="s">
        <v>1</v>
      </c>
      <c r="B3" s="4" t="s">
        <v>21</v>
      </c>
      <c r="E3" s="8" t="s">
        <v>25</v>
      </c>
    </row>
    <row r="4" spans="1:5" x14ac:dyDescent="0.25">
      <c r="A4" s="8">
        <v>0</v>
      </c>
      <c r="B4" s="10" t="s">
        <v>23</v>
      </c>
      <c r="E4" s="8" t="s">
        <v>26</v>
      </c>
    </row>
    <row r="5" spans="1:5" x14ac:dyDescent="0.25">
      <c r="A5" s="8" t="s">
        <v>2</v>
      </c>
      <c r="B5" s="9">
        <v>5</v>
      </c>
      <c r="E5" s="8" t="s">
        <v>27</v>
      </c>
    </row>
    <row r="6" spans="1:5" x14ac:dyDescent="0.25">
      <c r="A6" s="8" t="s">
        <v>22</v>
      </c>
      <c r="B6" s="9">
        <v>5.5</v>
      </c>
    </row>
    <row r="7" spans="1:5" x14ac:dyDescent="0.25">
      <c r="A7" s="8" t="s">
        <v>3</v>
      </c>
      <c r="B7" s="9">
        <v>6</v>
      </c>
    </row>
    <row r="8" spans="1:5" x14ac:dyDescent="0.25">
      <c r="A8" s="8" t="s">
        <v>4</v>
      </c>
      <c r="B8" s="9">
        <v>6</v>
      </c>
    </row>
    <row r="9" spans="1:5" x14ac:dyDescent="0.25">
      <c r="A9" s="8" t="s">
        <v>5</v>
      </c>
      <c r="B9" s="9">
        <v>5.5</v>
      </c>
    </row>
    <row r="10" spans="1:5" x14ac:dyDescent="0.25">
      <c r="A10" s="8" t="s">
        <v>6</v>
      </c>
      <c r="B10" s="9">
        <v>6</v>
      </c>
    </row>
    <row r="11" spans="1:5" x14ac:dyDescent="0.25">
      <c r="A11" s="8" t="s">
        <v>7</v>
      </c>
      <c r="B11" s="9">
        <v>5</v>
      </c>
    </row>
    <row r="12" spans="1:5" x14ac:dyDescent="0.25">
      <c r="A12" s="8" t="s">
        <v>8</v>
      </c>
      <c r="B12" s="9">
        <v>5</v>
      </c>
    </row>
    <row r="13" spans="1:5" x14ac:dyDescent="0.25">
      <c r="A13" s="8" t="s">
        <v>9</v>
      </c>
      <c r="B13" s="9">
        <v>10</v>
      </c>
    </row>
    <row r="14" spans="1:5" x14ac:dyDescent="0.25">
      <c r="A14" s="8" t="s">
        <v>10</v>
      </c>
      <c r="B14" s="9">
        <v>15</v>
      </c>
    </row>
    <row r="15" spans="1:5" x14ac:dyDescent="0.25">
      <c r="A15" s="8" t="s">
        <v>11</v>
      </c>
      <c r="B15" s="9">
        <v>8</v>
      </c>
    </row>
    <row r="16" spans="1:5" x14ac:dyDescent="0.25">
      <c r="A16" s="8" t="s">
        <v>12</v>
      </c>
      <c r="B16" s="9">
        <v>7</v>
      </c>
    </row>
    <row r="17" spans="1:16" x14ac:dyDescent="0.25">
      <c r="A17" s="8" t="s">
        <v>13</v>
      </c>
      <c r="B17" s="9">
        <v>3.5</v>
      </c>
    </row>
    <row r="18" spans="1:16" x14ac:dyDescent="0.25">
      <c r="A18" s="8" t="s">
        <v>14</v>
      </c>
      <c r="B18" s="9">
        <v>6</v>
      </c>
    </row>
    <row r="19" spans="1:16" x14ac:dyDescent="0.25">
      <c r="A19" s="8" t="s">
        <v>15</v>
      </c>
      <c r="B19" s="9">
        <v>7</v>
      </c>
    </row>
    <row r="20" spans="1:16" x14ac:dyDescent="0.25">
      <c r="A20" s="8" t="s">
        <v>16</v>
      </c>
      <c r="B20" s="9">
        <v>15</v>
      </c>
    </row>
    <row r="21" spans="1:16" x14ac:dyDescent="0.25">
      <c r="A21" s="8" t="s">
        <v>17</v>
      </c>
      <c r="B21" s="9">
        <v>6</v>
      </c>
      <c r="P21" t="s">
        <v>35</v>
      </c>
    </row>
    <row r="22" spans="1:16" x14ac:dyDescent="0.25">
      <c r="A22" s="8" t="s">
        <v>18</v>
      </c>
      <c r="B22" s="9">
        <v>5</v>
      </c>
    </row>
    <row r="23" spans="1:16" x14ac:dyDescent="0.25">
      <c r="A23" s="8" t="s">
        <v>19</v>
      </c>
      <c r="B23" s="9">
        <v>6</v>
      </c>
    </row>
    <row r="24" spans="1:16" x14ac:dyDescent="0.25">
      <c r="A24" s="8" t="s">
        <v>20</v>
      </c>
      <c r="B24" s="9">
        <v>3</v>
      </c>
    </row>
  </sheetData>
  <mergeCells count="1">
    <mergeCell ref="A2:B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E393A-0DE8-430B-A9C5-DCA0A33F055C}">
  <sheetPr codeName="Planilha3"/>
  <dimension ref="A2:D18"/>
  <sheetViews>
    <sheetView workbookViewId="0">
      <selection activeCell="A4" sqref="A4"/>
    </sheetView>
  </sheetViews>
  <sheetFormatPr defaultRowHeight="15" x14ac:dyDescent="0.25"/>
  <cols>
    <col min="1" max="1" width="30.28515625" customWidth="1"/>
    <col min="2" max="2" width="14" customWidth="1"/>
    <col min="3" max="3" width="13.140625" customWidth="1"/>
    <col min="4" max="4" width="10.5703125" bestFit="1" customWidth="1"/>
    <col min="13" max="13" width="12.85546875" customWidth="1"/>
  </cols>
  <sheetData>
    <row r="2" spans="1:4" x14ac:dyDescent="0.25">
      <c r="A2" s="7" t="s">
        <v>28</v>
      </c>
      <c r="B2" s="7"/>
      <c r="C2" s="7"/>
      <c r="D2" s="7"/>
    </row>
    <row r="3" spans="1:4" x14ac:dyDescent="0.25">
      <c r="A3" s="4" t="s">
        <v>1</v>
      </c>
      <c r="B3" s="4" t="s">
        <v>29</v>
      </c>
      <c r="C3" s="4" t="s">
        <v>21</v>
      </c>
      <c r="D3" s="4" t="s">
        <v>30</v>
      </c>
    </row>
    <row r="4" spans="1:4" x14ac:dyDescent="0.25">
      <c r="A4" s="16" t="s">
        <v>6</v>
      </c>
      <c r="B4" s="16"/>
      <c r="C4" s="2">
        <f>IF(A4="",0,VLOOKUP(A4,cardapio!$A$5:$B$24,2,0))</f>
        <v>6</v>
      </c>
      <c r="D4" s="9">
        <f>PRODUCT(B4,C4)</f>
        <v>6</v>
      </c>
    </row>
    <row r="5" spans="1:4" x14ac:dyDescent="0.25">
      <c r="A5" s="16"/>
      <c r="B5" s="16"/>
      <c r="C5" s="2">
        <f>IF(A5="",0,VLOOKUP(A5,cardapio!$A$5:$B$24,2,0))</f>
        <v>0</v>
      </c>
      <c r="D5" s="9">
        <f t="shared" ref="D5:D15" si="0">PRODUCT(B5,C5)</f>
        <v>0</v>
      </c>
    </row>
    <row r="6" spans="1:4" x14ac:dyDescent="0.25">
      <c r="A6" s="16"/>
      <c r="B6" s="16"/>
      <c r="C6" s="2">
        <f>IF(A6="",0,VLOOKUP(A6,cardapio!$A$5:$B$24,2,0))</f>
        <v>0</v>
      </c>
      <c r="D6" s="9">
        <f t="shared" si="0"/>
        <v>0</v>
      </c>
    </row>
    <row r="7" spans="1:4" x14ac:dyDescent="0.25">
      <c r="A7" s="16"/>
      <c r="B7" s="16"/>
      <c r="C7" s="2">
        <f>IF(A7="",0,VLOOKUP(A7,cardapio!$A$5:$B$24,2,0))</f>
        <v>0</v>
      </c>
      <c r="D7" s="9">
        <f t="shared" si="0"/>
        <v>0</v>
      </c>
    </row>
    <row r="8" spans="1:4" x14ac:dyDescent="0.25">
      <c r="A8" s="16"/>
      <c r="B8" s="16"/>
      <c r="C8" s="2">
        <f>IF(A8="",0,VLOOKUP(A8,cardapio!$A$5:$B$24,2,0))</f>
        <v>0</v>
      </c>
      <c r="D8" s="9">
        <f t="shared" si="0"/>
        <v>0</v>
      </c>
    </row>
    <row r="9" spans="1:4" x14ac:dyDescent="0.25">
      <c r="A9" s="16"/>
      <c r="B9" s="16"/>
      <c r="C9" s="2">
        <f>IF(A9="",0,VLOOKUP(A9,cardapio!$A$5:$B$24,2,0))</f>
        <v>0</v>
      </c>
      <c r="D9" s="9">
        <f t="shared" si="0"/>
        <v>0</v>
      </c>
    </row>
    <row r="10" spans="1:4" x14ac:dyDescent="0.25">
      <c r="A10" s="16"/>
      <c r="B10" s="16"/>
      <c r="C10" s="2">
        <f>IF(A10="",0,VLOOKUP(A10,cardapio!$A$5:$B$24,2,0))</f>
        <v>0</v>
      </c>
      <c r="D10" s="9">
        <f t="shared" si="0"/>
        <v>0</v>
      </c>
    </row>
    <row r="11" spans="1:4" x14ac:dyDescent="0.25">
      <c r="A11" s="16"/>
      <c r="B11" s="16"/>
      <c r="C11" s="2">
        <f>IF(A11="",0,VLOOKUP(A11,cardapio!$A$5:$B$24,2,0))</f>
        <v>0</v>
      </c>
      <c r="D11" s="9">
        <f t="shared" si="0"/>
        <v>0</v>
      </c>
    </row>
    <row r="12" spans="1:4" x14ac:dyDescent="0.25">
      <c r="A12" s="16"/>
      <c r="B12" s="16"/>
      <c r="C12" s="2">
        <f>IF(A12="",0,VLOOKUP(A12,cardapio!$A$5:$B$24,2,0))</f>
        <v>0</v>
      </c>
      <c r="D12" s="9">
        <f t="shared" si="0"/>
        <v>0</v>
      </c>
    </row>
    <row r="13" spans="1:4" x14ac:dyDescent="0.25">
      <c r="A13" s="16"/>
      <c r="B13" s="16"/>
      <c r="C13" s="2">
        <f>IF(A13="",0,VLOOKUP(A13,cardapio!$A$5:$B$24,2,0))</f>
        <v>0</v>
      </c>
      <c r="D13" s="9">
        <f t="shared" si="0"/>
        <v>0</v>
      </c>
    </row>
    <row r="14" spans="1:4" x14ac:dyDescent="0.25">
      <c r="A14" s="16"/>
      <c r="B14" s="16"/>
      <c r="C14" s="2">
        <f>IF(A14="",0,VLOOKUP(A14,cardapio!$A$5:$B$24,2,0))</f>
        <v>0</v>
      </c>
      <c r="D14" s="9">
        <f t="shared" si="0"/>
        <v>0</v>
      </c>
    </row>
    <row r="15" spans="1:4" x14ac:dyDescent="0.25">
      <c r="A15" s="16"/>
      <c r="B15" s="16"/>
      <c r="C15" s="2">
        <f>IF(A15="",0,VLOOKUP(A15,cardapio!$A$5:$B$24,2,0))</f>
        <v>0</v>
      </c>
      <c r="D15" s="9">
        <f t="shared" si="0"/>
        <v>0</v>
      </c>
    </row>
    <row r="16" spans="1:4" x14ac:dyDescent="0.25">
      <c r="A16" s="11" t="s">
        <v>31</v>
      </c>
      <c r="B16" s="11"/>
      <c r="C16" s="14"/>
      <c r="D16" s="14">
        <f>SUM(D4:D15)</f>
        <v>6</v>
      </c>
    </row>
    <row r="17" spans="1:4" x14ac:dyDescent="0.25">
      <c r="A17" s="3" t="s">
        <v>32</v>
      </c>
      <c r="C17" s="4" t="s">
        <v>34</v>
      </c>
      <c r="D17" s="15">
        <v>20</v>
      </c>
    </row>
    <row r="18" spans="1:4" x14ac:dyDescent="0.25">
      <c r="A18" s="8" t="s">
        <v>26</v>
      </c>
      <c r="B18" s="8"/>
      <c r="C18" s="4" t="s">
        <v>33</v>
      </c>
      <c r="D18">
        <f>IF(OR(D17&lt;0, D17&lt;D16), "", D17-D16)</f>
        <v>14</v>
      </c>
    </row>
  </sheetData>
  <mergeCells count="1">
    <mergeCell ref="A2:D2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07B810-B004-42A2-977F-186ABB47D7FD}">
          <x14:formula1>
            <xm:f>cardapio!$A$5:$A$24</xm:f>
          </x14:formula1>
          <xm:sqref>A4:A15</xm:sqref>
        </x14:dataValidation>
        <x14:dataValidation type="list" allowBlank="1" showInputMessage="1" showErrorMessage="1" xr:uid="{85A08E7E-37C2-4C67-9601-33A990E63929}">
          <x14:formula1>
            <xm:f>cardapio!$E$3:$E$5</xm:f>
          </x14:formula1>
          <xm:sqref>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5EBAD-9593-4DFD-8B8B-BE2AEF5F36AC}">
  <sheetPr codeName="Planilha4"/>
  <dimension ref="A1:D8"/>
  <sheetViews>
    <sheetView tabSelected="1" workbookViewId="0">
      <selection activeCell="M21" sqref="M21:M22"/>
    </sheetView>
  </sheetViews>
  <sheetFormatPr defaultRowHeight="15" x14ac:dyDescent="0.25"/>
  <cols>
    <col min="1" max="1" width="15.140625" customWidth="1"/>
    <col min="2" max="3" width="15.85546875" bestFit="1" customWidth="1"/>
  </cols>
  <sheetData>
    <row r="1" spans="1:4" x14ac:dyDescent="0.25">
      <c r="A1" s="7" t="s">
        <v>36</v>
      </c>
      <c r="B1" s="7"/>
      <c r="C1" s="7"/>
      <c r="D1" s="7"/>
    </row>
    <row r="2" spans="1:4" x14ac:dyDescent="0.25">
      <c r="A2" s="4" t="s">
        <v>32</v>
      </c>
      <c r="B2" s="4" t="s">
        <v>37</v>
      </c>
      <c r="C2" s="4" t="s">
        <v>38</v>
      </c>
      <c r="D2" s="4" t="s">
        <v>39</v>
      </c>
    </row>
    <row r="3" spans="1:4" x14ac:dyDescent="0.25">
      <c r="A3" s="8" t="s">
        <v>26</v>
      </c>
      <c r="B3" s="12">
        <v>45147.677731481483</v>
      </c>
      <c r="C3" s="13">
        <v>67</v>
      </c>
      <c r="D3" s="8"/>
    </row>
    <row r="4" spans="1:4" x14ac:dyDescent="0.25">
      <c r="A4" t="s">
        <v>26</v>
      </c>
      <c r="B4" s="5">
        <v>45147.681400462963</v>
      </c>
      <c r="C4" s="2">
        <v>67</v>
      </c>
      <c r="D4" t="s">
        <v>41</v>
      </c>
    </row>
    <row r="5" spans="1:4" x14ac:dyDescent="0.25">
      <c r="A5" s="8" t="s">
        <v>26</v>
      </c>
      <c r="B5" s="12">
        <v>45147.678784722222</v>
      </c>
      <c r="C5" s="13">
        <v>67</v>
      </c>
      <c r="D5" s="8" t="s">
        <v>34</v>
      </c>
    </row>
    <row r="6" spans="1:4" x14ac:dyDescent="0.25">
      <c r="A6" s="8" t="s">
        <v>25</v>
      </c>
      <c r="B6" s="12">
        <v>45146.594444444447</v>
      </c>
      <c r="C6" s="13">
        <v>10</v>
      </c>
      <c r="D6" s="8" t="s">
        <v>40</v>
      </c>
    </row>
    <row r="7" spans="1:4" x14ac:dyDescent="0.25">
      <c r="A7" s="8" t="s">
        <v>25</v>
      </c>
      <c r="B7" s="12">
        <v>45146.594444444447</v>
      </c>
      <c r="C7" s="13">
        <v>12</v>
      </c>
      <c r="D7" s="8" t="s">
        <v>41</v>
      </c>
    </row>
    <row r="8" spans="1:4" x14ac:dyDescent="0.25">
      <c r="A8" s="8" t="s">
        <v>25</v>
      </c>
      <c r="B8" s="12">
        <v>45146.594444444447</v>
      </c>
      <c r="C8" s="9">
        <v>6</v>
      </c>
      <c r="D8" s="8" t="s">
        <v>41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Planilha1</vt:lpstr>
      <vt:lpstr>cardapio</vt:lpstr>
      <vt:lpstr>comanda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</dc:creator>
  <cp:lastModifiedBy>Des</cp:lastModifiedBy>
  <dcterms:created xsi:type="dcterms:W3CDTF">2023-08-07T16:38:11Z</dcterms:created>
  <dcterms:modified xsi:type="dcterms:W3CDTF">2023-08-09T19:59:43Z</dcterms:modified>
</cp:coreProperties>
</file>
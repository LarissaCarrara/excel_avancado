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17" codeName="{E2C1EDA0-8E35-0DE7-14D6-BA87D06DEEC8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aula01\"/>
    </mc:Choice>
  </mc:AlternateContent>
  <xr:revisionPtr revIDLastSave="0" documentId="13_ncr:1_{4A4BCF22-7623-4231-9A30-5AA1B5B5F2CF}" xr6:coauthVersionLast="47" xr6:coauthVersionMax="47" xr10:uidLastSave="{00000000-0000-0000-0000-000000000000}"/>
  <bookViews>
    <workbookView xWindow="-120" yWindow="-120" windowWidth="29040" windowHeight="15840" xr2:uid="{A9EFEEF6-1F3F-43E5-BB7D-B97DEE0933FA}"/>
  </bookViews>
  <sheets>
    <sheet name="atividade1" sheetId="1" r:id="rId1"/>
  </sheets>
  <calcPr calcId="191029"/>
  <pivotCaches>
    <pivotCache cacheId="5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1" l="1"/>
  <c r="J22" i="1"/>
  <c r="N8" i="1"/>
  <c r="N9" i="1"/>
  <c r="N10" i="1"/>
  <c r="N11" i="1"/>
  <c r="N12" i="1"/>
  <c r="N13" i="1"/>
  <c r="N14" i="1"/>
  <c r="N15" i="1"/>
  <c r="N16" i="1"/>
  <c r="N17" i="1"/>
  <c r="N18" i="1"/>
  <c r="N7" i="1"/>
  <c r="I9" i="1"/>
  <c r="I10" i="1"/>
  <c r="I11" i="1"/>
  <c r="I12" i="1"/>
  <c r="I13" i="1"/>
  <c r="I14" i="1"/>
  <c r="I15" i="1"/>
  <c r="I16" i="1"/>
  <c r="I17" i="1"/>
  <c r="I18" i="1"/>
  <c r="I8" i="1"/>
  <c r="J9" i="1"/>
  <c r="J10" i="1"/>
  <c r="J11" i="1"/>
  <c r="J12" i="1"/>
  <c r="J13" i="1"/>
  <c r="J14" i="1"/>
  <c r="J15" i="1"/>
  <c r="J16" i="1"/>
  <c r="J17" i="1"/>
  <c r="J18" i="1"/>
  <c r="J8" i="1"/>
  <c r="H9" i="1"/>
  <c r="H10" i="1"/>
  <c r="H11" i="1"/>
  <c r="H12" i="1"/>
  <c r="H13" i="1"/>
  <c r="H14" i="1"/>
  <c r="H15" i="1"/>
  <c r="H16" i="1"/>
  <c r="H17" i="1"/>
  <c r="H18" i="1"/>
  <c r="H8" i="1"/>
  <c r="B26" i="1"/>
  <c r="B25" i="1"/>
  <c r="B24" i="1"/>
  <c r="B22" i="1"/>
  <c r="B21" i="1"/>
  <c r="B20" i="1"/>
  <c r="K6" i="1"/>
  <c r="C6" i="1"/>
  <c r="D6" i="1"/>
  <c r="E6" i="1"/>
  <c r="F6" i="1"/>
  <c r="G6" i="1"/>
  <c r="B6" i="1"/>
  <c r="H6" i="1" l="1"/>
  <c r="J6" i="1"/>
  <c r="I6" i="1"/>
</calcChain>
</file>

<file path=xl/sharedStrings.xml><?xml version="1.0" encoding="utf-8"?>
<sst xmlns="http://schemas.openxmlformats.org/spreadsheetml/2006/main" count="41" uniqueCount="38">
  <si>
    <t>Histórico de vendas dos últimos 6 meses</t>
  </si>
  <si>
    <t>Setores</t>
  </si>
  <si>
    <t>Alto</t>
  </si>
  <si>
    <t>Baixo</t>
  </si>
  <si>
    <t>Média</t>
  </si>
  <si>
    <t>Atual (julho)</t>
  </si>
  <si>
    <t>Desempenho</t>
  </si>
  <si>
    <t>Gráfico Tendência</t>
  </si>
  <si>
    <t>Resultado do mês</t>
  </si>
  <si>
    <t>Resultado Mês</t>
  </si>
  <si>
    <t>Vestuário Feminino</t>
  </si>
  <si>
    <t>Pátio e Jardim</t>
  </si>
  <si>
    <t>Brinquedos</t>
  </si>
  <si>
    <t>Aparelhos Eletrônicos</t>
  </si>
  <si>
    <t>Vestuário para Bebês</t>
  </si>
  <si>
    <t>Vestuário Maculino</t>
  </si>
  <si>
    <t>Vestuário Infantil</t>
  </si>
  <si>
    <t>Móveis</t>
  </si>
  <si>
    <t>Cama e Banho</t>
  </si>
  <si>
    <t>Utencílios para Cozinha</t>
  </si>
  <si>
    <t>Casa</t>
  </si>
  <si>
    <t>1º Maior Valor dos "Moveis"</t>
  </si>
  <si>
    <t>2º Maior Valor dos "Moveis"</t>
  </si>
  <si>
    <t>3º Maior Valor dos "Moveis"</t>
  </si>
  <si>
    <t>valor mês atual</t>
  </si>
  <si>
    <t>1º Menor Valor dos "Brinquedos"</t>
  </si>
  <si>
    <t>2º Menor Valor dos "Brinquedos"</t>
  </si>
  <si>
    <t>3º Menor Valor dos "Brinquedos"</t>
  </si>
  <si>
    <t>Rótulos de Linha</t>
  </si>
  <si>
    <t>Total Geral</t>
  </si>
  <si>
    <t>Soma de jan/23</t>
  </si>
  <si>
    <t>Soma de fev/23</t>
  </si>
  <si>
    <t>Soma de mar/23</t>
  </si>
  <si>
    <t>Soma de abr/23</t>
  </si>
  <si>
    <t>Soma de mai/23</t>
  </si>
  <si>
    <t>Soma de jun/23</t>
  </si>
  <si>
    <t>Soma de Atual (julho)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</si>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</sst>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"/>
  </numFmts>
  <fonts count="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7">
    <xf numFmtId="0" fontId="0" fillId="0" borderId="0" xfId="0"/>
    <xf numFmtId="0" fontId="0" fillId="0" borderId="0" xfId="0" applyAlignment="1"/>
    <xf numFmtId="17" fontId="0" fillId="0" borderId="0" xfId="0" applyNumberFormat="1" applyAlignment="1">
      <alignment horizontal="center"/>
    </xf>
    <xf numFmtId="0" fontId="0" fillId="0" borderId="2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3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7" fontId="0" fillId="3" borderId="5" xfId="0" applyNumberFormat="1" applyFill="1" applyBorder="1" applyAlignment="1">
      <alignment horizontal="center" vertical="center"/>
    </xf>
    <xf numFmtId="170" fontId="0" fillId="0" borderId="3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" fontId="1" fillId="2" borderId="1" xfId="1" applyNumberFormat="1" applyAlignment="1">
      <alignment horizontal="center" vertical="center"/>
    </xf>
    <xf numFmtId="0" fontId="0" fillId="3" borderId="4" xfId="0" applyFill="1" applyBorder="1" applyAlignment="1">
      <alignment horizontal="left" vertical="center"/>
    </xf>
  </cellXfs>
  <cellStyles count="2">
    <cellStyle name="Entrada" xfId="1" builtinId="20"/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[atividade1.xlsm]atividade1!Tabela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atividade1!$H$28</c:f>
              <c:strCache>
                <c:ptCount val="1"/>
                <c:pt idx="0">
                  <c:v>Soma de jan/23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atividade1!$G$29:$G$30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atividade1!$H$29:$H$30</c:f>
              <c:numCache>
                <c:formatCode>General</c:formatCode>
                <c:ptCount val="1"/>
                <c:pt idx="0">
                  <c:v>209.7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C-4A60-B09B-7BCDB9B704C4}"/>
            </c:ext>
          </c:extLst>
        </c:ser>
        <c:ser>
          <c:idx val="1"/>
          <c:order val="1"/>
          <c:tx>
            <c:strRef>
              <c:f>atividade1!$I$28</c:f>
              <c:strCache>
                <c:ptCount val="1"/>
                <c:pt idx="0">
                  <c:v>Soma de fev/23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atividade1!$G$29:$G$30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atividade1!$I$29:$I$30</c:f>
              <c:numCache>
                <c:formatCode>General</c:formatCode>
                <c:ptCount val="1"/>
                <c:pt idx="0">
                  <c:v>247.09999999999997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4C-4A60-B09B-7BCDB9B704C4}"/>
            </c:ext>
          </c:extLst>
        </c:ser>
        <c:ser>
          <c:idx val="2"/>
          <c:order val="2"/>
          <c:tx>
            <c:strRef>
              <c:f>atividade1!$J$28</c:f>
              <c:strCache>
                <c:ptCount val="1"/>
                <c:pt idx="0">
                  <c:v>Soma de mar/23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atividade1!$G$29:$G$30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atividade1!$J$29:$J$30</c:f>
              <c:numCache>
                <c:formatCode>General</c:formatCode>
                <c:ptCount val="1"/>
                <c:pt idx="0">
                  <c:v>235.9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4C-4A60-B09B-7BCDB9B704C4}"/>
            </c:ext>
          </c:extLst>
        </c:ser>
        <c:ser>
          <c:idx val="3"/>
          <c:order val="3"/>
          <c:tx>
            <c:strRef>
              <c:f>atividade1!$K$28</c:f>
              <c:strCache>
                <c:ptCount val="1"/>
                <c:pt idx="0">
                  <c:v>Soma de abr/23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atividade1!$G$29:$G$30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atividade1!$K$29:$K$30</c:f>
              <c:numCache>
                <c:formatCode>General</c:formatCode>
                <c:ptCount val="1"/>
                <c:pt idx="0">
                  <c:v>263.60000000000002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4C-4A60-B09B-7BCDB9B704C4}"/>
            </c:ext>
          </c:extLst>
        </c:ser>
        <c:ser>
          <c:idx val="4"/>
          <c:order val="4"/>
          <c:tx>
            <c:strRef>
              <c:f>atividade1!$L$28</c:f>
              <c:strCache>
                <c:ptCount val="1"/>
                <c:pt idx="0">
                  <c:v>Soma de mai/23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atividade1!$G$29:$G$30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atividade1!$L$29:$L$30</c:f>
              <c:numCache>
                <c:formatCode>General</c:formatCode>
                <c:ptCount val="1"/>
                <c:pt idx="0">
                  <c:v>235.20000000000002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4C-4A60-B09B-7BCDB9B704C4}"/>
            </c:ext>
          </c:extLst>
        </c:ser>
        <c:ser>
          <c:idx val="5"/>
          <c:order val="5"/>
          <c:tx>
            <c:strRef>
              <c:f>atividade1!$M$28</c:f>
              <c:strCache>
                <c:ptCount val="1"/>
                <c:pt idx="0">
                  <c:v>Soma de jun/23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atividade1!$G$29:$G$30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atividade1!$M$29:$M$30</c:f>
              <c:numCache>
                <c:formatCode>General</c:formatCode>
                <c:ptCount val="1"/>
                <c:pt idx="0">
                  <c:v>244.3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4C-4A60-B09B-7BCDB9B704C4}"/>
            </c:ext>
          </c:extLst>
        </c:ser>
        <c:ser>
          <c:idx val="6"/>
          <c:order val="6"/>
          <c:tx>
            <c:strRef>
              <c:f>atividade1!$N$28</c:f>
              <c:strCache>
                <c:ptCount val="1"/>
                <c:pt idx="0">
                  <c:v>Soma de Atual (julho)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atividade1!$G$29:$G$30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atividade1!$N$29:$N$30</c:f>
              <c:numCache>
                <c:formatCode>General</c:formatCode>
                <c:ptCount val="1"/>
                <c:pt idx="0">
                  <c:v>265.39999999999998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4C-4A60-B09B-7BCDB9B70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7482160"/>
        <c:axId val="587481080"/>
      </c:barChart>
      <c:catAx>
        <c:axId val="58748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481080"/>
        <c:crosses val="autoZero"/>
        <c:auto val="1"/>
        <c:lblAlgn val="ctr"/>
        <c:lblOffset val="100"/>
        <c:noMultiLvlLbl val="0"/>
      </c:catAx>
      <c:valAx>
        <c:axId val="5874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48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32</xdr:row>
      <xdr:rowOff>80962</xdr:rowOff>
    </xdr:from>
    <xdr:to>
      <xdr:col>11</xdr:col>
      <xdr:colOff>1095375</xdr:colOff>
      <xdr:row>46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6DFF5-6158-68DD-2DE5-4A6F80789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" refreshedDate="45133.658331018516" createdVersion="8" refreshedVersion="8" minRefreshableVersion="3" recordCount="1" xr:uid="{1E84EB11-F8A3-4D87-8083-A3278A66DFD2}">
  <cacheSource type="worksheet">
    <worksheetSource ref="A5:L6" sheet="atividade1"/>
  </cacheSource>
  <cacheFields count="12">
    <cacheField name="Setores" numFmtId="0">
      <sharedItems count="1">
        <s v="Resultado Mês"/>
      </sharedItems>
    </cacheField>
    <cacheField name="jan/23" numFmtId="0">
      <sharedItems containsSemiMixedTypes="0" containsString="0" containsNumber="1" minValue="209.7" maxValue="209.7"/>
    </cacheField>
    <cacheField name="fev/23" numFmtId="0">
      <sharedItems containsSemiMixedTypes="0" containsString="0" containsNumber="1" minValue="247.09999999999997" maxValue="247.09999999999997"/>
    </cacheField>
    <cacheField name="mar/23" numFmtId="0">
      <sharedItems containsSemiMixedTypes="0" containsString="0" containsNumber="1" minValue="235.9" maxValue="235.9"/>
    </cacheField>
    <cacheField name="abr/23" numFmtId="0">
      <sharedItems containsSemiMixedTypes="0" containsString="0" containsNumber="1" minValue="263.60000000000002" maxValue="263.60000000000002"/>
    </cacheField>
    <cacheField name="mai/23" numFmtId="0">
      <sharedItems containsSemiMixedTypes="0" containsString="0" containsNumber="1" minValue="235.20000000000002" maxValue="235.20000000000002"/>
    </cacheField>
    <cacheField name="jun/23" numFmtId="0">
      <sharedItems containsSemiMixedTypes="0" containsString="0" containsNumber="1" minValue="244.3" maxValue="244.3"/>
    </cacheField>
    <cacheField name="Alto" numFmtId="0">
      <sharedItems containsSemiMixedTypes="0" containsString="0" containsNumber="1" minValue="34.9" maxValue="34.9"/>
    </cacheField>
    <cacheField name="Média" numFmtId="170">
      <sharedItems containsSemiMixedTypes="0" containsString="0" containsNumber="1" minValue="22.093506493506496" maxValue="22.093506493506496"/>
    </cacheField>
    <cacheField name="Baixo" numFmtId="0">
      <sharedItems containsSemiMixedTypes="0" containsString="0" containsNumber="1" minValue="6.1" maxValue="6.1"/>
    </cacheField>
    <cacheField name="Atual (julho)" numFmtId="0">
      <sharedItems containsSemiMixedTypes="0" containsString="0" containsNumber="1" minValue="265.39999999999998" maxValue="265.39999999999998"/>
    </cacheField>
    <cacheField name="Desempenh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209.7"/>
    <n v="247.09999999999997"/>
    <n v="235.9"/>
    <n v="263.60000000000002"/>
    <n v="235.20000000000002"/>
    <n v="244.3"/>
    <n v="34.9"/>
    <n v="22.093506493506496"/>
    <n v="6.1"/>
    <n v="265.3999999999999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EE8EC-D401-4FF7-B31E-EC0D66F1F3DE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G28:N30" firstHeaderRow="0" firstDataRow="1" firstDataCol="1"/>
  <pivotFields count="12">
    <pivotField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70" showAll="0"/>
    <pivotField showAll="0"/>
    <pivotField dataField="1" showAll="0"/>
    <pivotField axis="axisRow" showAll="0">
      <items count="2">
        <item x="0"/>
        <item t="default"/>
      </items>
    </pivotField>
  </pivotFields>
  <rowFields count="1">
    <field x="11"/>
  </rowFields>
  <rowItems count="2">
    <i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jan/23" fld="1" baseField="0" baseItem="0"/>
    <dataField name="Soma de fev/23" fld="2" baseField="0" baseItem="0"/>
    <dataField name="Soma de mar/23" fld="3" baseField="0" baseItem="0"/>
    <dataField name="Soma de abr/23" fld="4" baseField="0" baseItem="0"/>
    <dataField name="Soma de mai/23" fld="5" baseField="0" baseItem="0"/>
    <dataField name="Soma de jun/23" fld="6" baseField="0" baseItem="0"/>
    <dataField name="Soma de Atual (julho)" fld="10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169BC-1F00-4346-9F7A-33B389784223}">
  <sheetPr codeName="Planilha3">
    <pageSetUpPr fitToPage="1"/>
  </sheetPr>
  <dimension ref="A4:P30"/>
  <sheetViews>
    <sheetView tabSelected="1" workbookViewId="0">
      <selection activeCell="E21" sqref="E21"/>
    </sheetView>
  </sheetViews>
  <sheetFormatPr defaultRowHeight="15" x14ac:dyDescent="0.25"/>
  <cols>
    <col min="1" max="1" width="30.42578125" customWidth="1"/>
    <col min="7" max="7" width="18" bestFit="1" customWidth="1"/>
    <col min="8" max="8" width="14.7109375" bestFit="1" customWidth="1"/>
    <col min="9" max="9" width="14.85546875" bestFit="1" customWidth="1"/>
    <col min="10" max="10" width="15.42578125" bestFit="1" customWidth="1"/>
    <col min="11" max="11" width="14.85546875" bestFit="1" customWidth="1"/>
    <col min="12" max="13" width="22.140625" customWidth="1"/>
    <col min="14" max="14" width="20.42578125" bestFit="1" customWidth="1"/>
    <col min="15" max="15" width="14.85546875" bestFit="1" customWidth="1"/>
    <col min="16" max="16" width="15.42578125" bestFit="1" customWidth="1"/>
    <col min="17" max="17" width="14.85546875" bestFit="1" customWidth="1"/>
    <col min="18" max="18" width="15.28515625" bestFit="1" customWidth="1"/>
    <col min="19" max="19" width="14.85546875" bestFit="1" customWidth="1"/>
    <col min="20" max="20" width="20.42578125" bestFit="1" customWidth="1"/>
    <col min="21" max="21" width="12.7109375" bestFit="1" customWidth="1"/>
    <col min="22" max="22" width="14.85546875" bestFit="1" customWidth="1"/>
    <col min="23" max="23" width="14" bestFit="1" customWidth="1"/>
  </cols>
  <sheetData>
    <row r="4" spans="1:15" x14ac:dyDescent="0.25">
      <c r="A4" s="1"/>
      <c r="B4" s="17" t="s">
        <v>0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9"/>
    </row>
    <row r="5" spans="1:15" ht="36" customHeight="1" x14ac:dyDescent="0.25">
      <c r="A5" s="26" t="s">
        <v>1</v>
      </c>
      <c r="B5" s="20">
        <v>44927</v>
      </c>
      <c r="C5" s="20">
        <v>44958</v>
      </c>
      <c r="D5" s="20">
        <v>44986</v>
      </c>
      <c r="E5" s="20">
        <v>45017</v>
      </c>
      <c r="F5" s="20">
        <v>45047</v>
      </c>
      <c r="G5" s="20">
        <v>45078</v>
      </c>
      <c r="H5" s="20" t="s">
        <v>2</v>
      </c>
      <c r="I5" s="20" t="s">
        <v>4</v>
      </c>
      <c r="J5" s="20" t="s">
        <v>3</v>
      </c>
      <c r="K5" s="20" t="s">
        <v>5</v>
      </c>
      <c r="L5" s="25" t="s">
        <v>6</v>
      </c>
      <c r="M5" s="25" t="s">
        <v>7</v>
      </c>
      <c r="N5" s="25" t="s">
        <v>8</v>
      </c>
      <c r="O5" s="2"/>
    </row>
    <row r="6" spans="1:15" x14ac:dyDescent="0.25">
      <c r="A6" s="8" t="s">
        <v>9</v>
      </c>
      <c r="B6" s="6">
        <f>SUM(B8:B18)</f>
        <v>209.7</v>
      </c>
      <c r="C6" s="8">
        <f t="shared" ref="C6:G6" si="0">SUM(C8:C18)</f>
        <v>247.09999999999997</v>
      </c>
      <c r="D6" s="6">
        <f t="shared" si="0"/>
        <v>235.9</v>
      </c>
      <c r="E6" s="8">
        <f t="shared" si="0"/>
        <v>263.60000000000002</v>
      </c>
      <c r="F6" s="6">
        <f t="shared" si="0"/>
        <v>235.20000000000002</v>
      </c>
      <c r="G6" s="8">
        <f t="shared" si="0"/>
        <v>244.3</v>
      </c>
      <c r="H6" s="6">
        <f>MAX(B8:K18)</f>
        <v>34.9</v>
      </c>
      <c r="I6" s="21">
        <f>AVERAGE(B8:K18)</f>
        <v>21.842727272727267</v>
      </c>
      <c r="J6" s="6">
        <f>MIN(B8:K18)</f>
        <v>6.1</v>
      </c>
      <c r="K6" s="5">
        <f>SUM(K8:K18)</f>
        <v>265.39999999999998</v>
      </c>
      <c r="L6" s="25"/>
      <c r="M6" s="25"/>
      <c r="N6" s="25"/>
    </row>
    <row r="7" spans="1:15" x14ac:dyDescent="0.25">
      <c r="C7" s="9"/>
      <c r="M7" s="8"/>
      <c r="N7" s="8" t="str">
        <f>IF(K8 &gt; I8, "acima", "abaixo")</f>
        <v>acima</v>
      </c>
    </row>
    <row r="8" spans="1:15" x14ac:dyDescent="0.25">
      <c r="A8" s="5" t="s">
        <v>10</v>
      </c>
      <c r="B8" s="5">
        <v>28.5</v>
      </c>
      <c r="C8" s="5">
        <v>32.5</v>
      </c>
      <c r="D8" s="5">
        <v>16.600000000000001</v>
      </c>
      <c r="E8" s="5">
        <v>17.3</v>
      </c>
      <c r="F8" s="8">
        <v>7</v>
      </c>
      <c r="G8" s="7">
        <v>30.3</v>
      </c>
      <c r="H8" s="6">
        <f>MAX(B8:G8)</f>
        <v>32.5</v>
      </c>
      <c r="I8" s="21">
        <f>AVERAGE(B8:G8)</f>
        <v>22.033333333333331</v>
      </c>
      <c r="J8" s="6">
        <f>MIN(B8:G8)</f>
        <v>7</v>
      </c>
      <c r="K8" s="5">
        <v>31.3</v>
      </c>
      <c r="L8" s="5"/>
      <c r="M8" s="8"/>
      <c r="N8" s="8" t="str">
        <f t="shared" ref="N8:N18" si="1">IF(K9 &gt; I9, "acima", "abaixo")</f>
        <v>acima</v>
      </c>
    </row>
    <row r="9" spans="1:15" x14ac:dyDescent="0.25">
      <c r="A9" s="8" t="s">
        <v>11</v>
      </c>
      <c r="B9" s="8">
        <v>6.3</v>
      </c>
      <c r="C9" s="8">
        <v>29</v>
      </c>
      <c r="D9" s="8">
        <v>18.899999999999999</v>
      </c>
      <c r="E9" s="8">
        <v>13.1</v>
      </c>
      <c r="F9" s="8">
        <v>29.2</v>
      </c>
      <c r="G9" s="8">
        <v>34.9</v>
      </c>
      <c r="H9" s="6">
        <f t="shared" ref="H9:H18" si="2">MAX(B9:G9)</f>
        <v>34.9</v>
      </c>
      <c r="I9" s="21">
        <f t="shared" ref="I9:I18" si="3">AVERAGE(B9:G9)</f>
        <v>21.900000000000002</v>
      </c>
      <c r="J9" s="6">
        <f t="shared" ref="J9:J18" si="4">MIN(B9:G9)</f>
        <v>6.3</v>
      </c>
      <c r="K9" s="8">
        <v>34.9</v>
      </c>
      <c r="L9" s="6"/>
      <c r="M9" s="8"/>
      <c r="N9" s="8" t="str">
        <f t="shared" si="1"/>
        <v>acima</v>
      </c>
    </row>
    <row r="10" spans="1:15" x14ac:dyDescent="0.25">
      <c r="A10" s="14" t="s">
        <v>12</v>
      </c>
      <c r="B10" s="14">
        <v>29.2</v>
      </c>
      <c r="C10" s="14">
        <v>15.7</v>
      </c>
      <c r="D10" s="14">
        <v>25.3</v>
      </c>
      <c r="E10" s="14">
        <v>14.9</v>
      </c>
      <c r="F10" s="14">
        <v>20</v>
      </c>
      <c r="G10" s="14">
        <v>23.4</v>
      </c>
      <c r="H10" s="6">
        <f t="shared" si="2"/>
        <v>29.2</v>
      </c>
      <c r="I10" s="21">
        <f t="shared" si="3"/>
        <v>21.416666666666668</v>
      </c>
      <c r="J10" s="6">
        <f t="shared" si="4"/>
        <v>14.9</v>
      </c>
      <c r="K10" s="14">
        <v>24.4</v>
      </c>
      <c r="L10" s="10"/>
      <c r="M10" s="8"/>
      <c r="N10" s="8" t="str">
        <f t="shared" si="1"/>
        <v>abaixo</v>
      </c>
    </row>
    <row r="11" spans="1:15" x14ac:dyDescent="0.25">
      <c r="A11" s="8" t="s">
        <v>13</v>
      </c>
      <c r="B11" s="8">
        <v>20.5</v>
      </c>
      <c r="C11" s="8">
        <v>31.9</v>
      </c>
      <c r="D11" s="8">
        <v>26.5</v>
      </c>
      <c r="E11" s="8">
        <v>25.1</v>
      </c>
      <c r="F11" s="8">
        <v>7.9</v>
      </c>
      <c r="G11" s="8">
        <v>16.3</v>
      </c>
      <c r="H11" s="6">
        <f t="shared" si="2"/>
        <v>31.9</v>
      </c>
      <c r="I11" s="21">
        <f t="shared" si="3"/>
        <v>21.366666666666671</v>
      </c>
      <c r="J11" s="6">
        <f t="shared" si="4"/>
        <v>7.9</v>
      </c>
      <c r="K11" s="8">
        <v>18.3</v>
      </c>
      <c r="L11" s="5"/>
      <c r="M11" s="8"/>
      <c r="N11" s="8" t="str">
        <f t="shared" si="1"/>
        <v>abaixo</v>
      </c>
    </row>
    <row r="12" spans="1:15" x14ac:dyDescent="0.25">
      <c r="A12" s="8" t="s">
        <v>14</v>
      </c>
      <c r="B12" s="8">
        <v>20.5</v>
      </c>
      <c r="C12" s="8">
        <v>20.7</v>
      </c>
      <c r="D12" s="8">
        <v>23.6</v>
      </c>
      <c r="E12" s="8">
        <v>34.4</v>
      </c>
      <c r="F12" s="8">
        <v>34.700000000000003</v>
      </c>
      <c r="G12" s="8">
        <v>17.100000000000001</v>
      </c>
      <c r="H12" s="6">
        <f t="shared" si="2"/>
        <v>34.700000000000003</v>
      </c>
      <c r="I12" s="21">
        <f t="shared" si="3"/>
        <v>25.166666666666671</v>
      </c>
      <c r="J12" s="6">
        <f t="shared" si="4"/>
        <v>17.100000000000001</v>
      </c>
      <c r="K12" s="8">
        <v>17.5</v>
      </c>
      <c r="L12" s="5"/>
      <c r="M12" s="8"/>
      <c r="N12" s="8" t="str">
        <f t="shared" si="1"/>
        <v>acima</v>
      </c>
    </row>
    <row r="13" spans="1:15" x14ac:dyDescent="0.25">
      <c r="A13" s="8" t="s">
        <v>15</v>
      </c>
      <c r="B13" s="8">
        <v>7.5</v>
      </c>
      <c r="C13" s="8">
        <v>11</v>
      </c>
      <c r="D13" s="8">
        <v>25</v>
      </c>
      <c r="E13" s="8">
        <v>33.5</v>
      </c>
      <c r="F13" s="8">
        <v>15.5</v>
      </c>
      <c r="G13" s="8">
        <v>26.6</v>
      </c>
      <c r="H13" s="6">
        <f t="shared" si="2"/>
        <v>33.5</v>
      </c>
      <c r="I13" s="21">
        <f t="shared" si="3"/>
        <v>19.849999999999998</v>
      </c>
      <c r="J13" s="6">
        <f t="shared" si="4"/>
        <v>7.5</v>
      </c>
      <c r="K13" s="8">
        <v>30.1</v>
      </c>
      <c r="L13" s="5"/>
      <c r="M13" s="8"/>
      <c r="N13" s="8" t="str">
        <f t="shared" si="1"/>
        <v>acima</v>
      </c>
    </row>
    <row r="14" spans="1:15" x14ac:dyDescent="0.25">
      <c r="A14" s="14" t="s">
        <v>16</v>
      </c>
      <c r="B14" s="14">
        <v>20.5</v>
      </c>
      <c r="C14" s="14">
        <v>6.1</v>
      </c>
      <c r="D14" s="14">
        <v>22.9</v>
      </c>
      <c r="E14" s="14">
        <v>19.7</v>
      </c>
      <c r="F14" s="14">
        <v>12.6</v>
      </c>
      <c r="G14" s="14">
        <v>21.3</v>
      </c>
      <c r="H14" s="6">
        <f t="shared" si="2"/>
        <v>22.9</v>
      </c>
      <c r="I14" s="21">
        <f t="shared" si="3"/>
        <v>17.183333333333334</v>
      </c>
      <c r="J14" s="6">
        <f t="shared" si="4"/>
        <v>6.1</v>
      </c>
      <c r="K14" s="14">
        <v>22.1</v>
      </c>
      <c r="L14" s="11"/>
      <c r="M14" s="8"/>
      <c r="N14" s="8" t="str">
        <f t="shared" si="1"/>
        <v>abaixo</v>
      </c>
    </row>
    <row r="15" spans="1:15" x14ac:dyDescent="0.25">
      <c r="A15" s="8" t="s">
        <v>17</v>
      </c>
      <c r="B15" s="8">
        <v>10.7</v>
      </c>
      <c r="C15" s="8">
        <v>28</v>
      </c>
      <c r="D15" s="8">
        <v>22.6</v>
      </c>
      <c r="E15" s="8">
        <v>17.5</v>
      </c>
      <c r="F15" s="8">
        <v>26.5</v>
      </c>
      <c r="G15" s="8">
        <v>13.6</v>
      </c>
      <c r="H15" s="6">
        <f t="shared" si="2"/>
        <v>28</v>
      </c>
      <c r="I15" s="21">
        <f t="shared" si="3"/>
        <v>19.816666666666666</v>
      </c>
      <c r="J15" s="6">
        <f t="shared" si="4"/>
        <v>10.7</v>
      </c>
      <c r="K15" s="8">
        <v>18.600000000000001</v>
      </c>
      <c r="L15" s="5"/>
      <c r="M15" s="8"/>
      <c r="N15" s="8" t="str">
        <f t="shared" si="1"/>
        <v>acima</v>
      </c>
    </row>
    <row r="16" spans="1:15" x14ac:dyDescent="0.25">
      <c r="A16" s="8" t="s">
        <v>18</v>
      </c>
      <c r="B16" s="8">
        <v>14.9</v>
      </c>
      <c r="C16" s="8">
        <v>30.3</v>
      </c>
      <c r="D16" s="8">
        <v>16.600000000000001</v>
      </c>
      <c r="E16" s="8">
        <v>25</v>
      </c>
      <c r="F16" s="8">
        <v>33.700000000000003</v>
      </c>
      <c r="G16" s="8">
        <v>27.4</v>
      </c>
      <c r="H16" s="6">
        <f t="shared" si="2"/>
        <v>33.700000000000003</v>
      </c>
      <c r="I16" s="21">
        <f t="shared" si="3"/>
        <v>24.650000000000002</v>
      </c>
      <c r="J16" s="6">
        <f t="shared" si="4"/>
        <v>14.9</v>
      </c>
      <c r="K16" s="8">
        <v>27.4</v>
      </c>
      <c r="L16" s="5"/>
      <c r="M16" s="8"/>
      <c r="N16" s="8" t="str">
        <f t="shared" si="1"/>
        <v>acima</v>
      </c>
    </row>
    <row r="17" spans="1:16" x14ac:dyDescent="0.25">
      <c r="A17" s="15" t="s">
        <v>19</v>
      </c>
      <c r="B17" s="15">
        <v>26.1</v>
      </c>
      <c r="C17" s="15">
        <v>18.2</v>
      </c>
      <c r="D17" s="15">
        <v>16.399999999999999</v>
      </c>
      <c r="E17" s="15">
        <v>34.4</v>
      </c>
      <c r="F17" s="15">
        <v>30.4</v>
      </c>
      <c r="G17" s="15">
        <v>24.4</v>
      </c>
      <c r="H17" s="6">
        <f t="shared" si="2"/>
        <v>34.4</v>
      </c>
      <c r="I17" s="21">
        <f t="shared" si="3"/>
        <v>24.983333333333334</v>
      </c>
      <c r="J17" s="6">
        <f t="shared" si="4"/>
        <v>16.399999999999999</v>
      </c>
      <c r="K17" s="15">
        <v>25.8</v>
      </c>
      <c r="L17" s="4"/>
      <c r="M17" s="8"/>
      <c r="N17" s="8" t="str">
        <f t="shared" si="1"/>
        <v>abaixo</v>
      </c>
    </row>
    <row r="18" spans="1:16" x14ac:dyDescent="0.25">
      <c r="A18" s="15" t="s">
        <v>20</v>
      </c>
      <c r="B18" s="15">
        <v>25</v>
      </c>
      <c r="C18" s="15">
        <v>23.7</v>
      </c>
      <c r="D18" s="15">
        <v>21.5</v>
      </c>
      <c r="E18" s="15">
        <v>28.7</v>
      </c>
      <c r="F18" s="15">
        <v>17.7</v>
      </c>
      <c r="G18" s="15">
        <v>9</v>
      </c>
      <c r="H18" s="6">
        <f t="shared" si="2"/>
        <v>28.7</v>
      </c>
      <c r="I18" s="21">
        <f t="shared" si="3"/>
        <v>20.933333333333334</v>
      </c>
      <c r="J18" s="6">
        <f t="shared" si="4"/>
        <v>9</v>
      </c>
      <c r="K18" s="15">
        <v>15</v>
      </c>
      <c r="L18" s="4"/>
      <c r="M18" s="8"/>
      <c r="N18" s="8" t="str">
        <f t="shared" si="1"/>
        <v>abaixo</v>
      </c>
    </row>
    <row r="19" spans="1:16" x14ac:dyDescent="0.25">
      <c r="A19" s="5"/>
      <c r="B19" s="6"/>
      <c r="C19" s="9"/>
      <c r="D19" s="9"/>
      <c r="E19" s="9"/>
      <c r="F19" s="9"/>
      <c r="G19" s="9"/>
      <c r="H19" s="9"/>
      <c r="I19" s="9"/>
      <c r="J19" s="9"/>
      <c r="K19" s="9"/>
      <c r="L19" s="9"/>
      <c r="P19" s="12"/>
    </row>
    <row r="20" spans="1:16" x14ac:dyDescent="0.25">
      <c r="A20" s="8" t="s">
        <v>21</v>
      </c>
      <c r="B20" s="7">
        <f>LARGE($B$10:$G$10,1)</f>
        <v>29.2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P20" s="12"/>
    </row>
    <row r="21" spans="1:16" x14ac:dyDescent="0.25">
      <c r="A21" s="14" t="s">
        <v>22</v>
      </c>
      <c r="B21" s="7">
        <f>LARGE($B$10:$G$10,2)</f>
        <v>25.3</v>
      </c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6" x14ac:dyDescent="0.25">
      <c r="A22" s="8" t="s">
        <v>23</v>
      </c>
      <c r="B22" s="7">
        <f>LARGE($B$10:$G$10,3)</f>
        <v>23.4</v>
      </c>
      <c r="C22" s="12"/>
      <c r="D22" s="12"/>
      <c r="E22" s="12"/>
      <c r="F22" s="16" t="s">
        <v>24</v>
      </c>
      <c r="G22" s="16"/>
      <c r="H22" s="16" t="s">
        <v>12</v>
      </c>
      <c r="I22" s="16"/>
      <c r="J22" s="8">
        <f>VLOOKUP(H22,A8:K18,11)</f>
        <v>24.4</v>
      </c>
      <c r="K22" s="12"/>
      <c r="L22" s="12"/>
    </row>
    <row r="23" spans="1:16" x14ac:dyDescent="0.25">
      <c r="A23" s="14"/>
      <c r="B23" s="13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6" x14ac:dyDescent="0.25">
      <c r="A24" s="8" t="s">
        <v>25</v>
      </c>
      <c r="B24" s="7">
        <f>SMALL($B$15:$G$15,1)</f>
        <v>10.7</v>
      </c>
      <c r="C24" s="12"/>
      <c r="D24" s="12"/>
      <c r="E24" s="12"/>
      <c r="F24" s="3"/>
      <c r="G24" s="3"/>
      <c r="H24" s="12"/>
      <c r="I24" s="12"/>
      <c r="J24" s="12"/>
      <c r="K24" s="12"/>
      <c r="L24" s="12"/>
      <c r="M24" s="12"/>
      <c r="N24" s="12"/>
      <c r="O24" s="12"/>
    </row>
    <row r="25" spans="1:16" x14ac:dyDescent="0.25">
      <c r="A25" s="8" t="s">
        <v>26</v>
      </c>
      <c r="B25" s="7">
        <f>SMALL($B$15:$G$15,2)</f>
        <v>13.6</v>
      </c>
      <c r="C25" s="12"/>
      <c r="D25" s="12"/>
      <c r="E25" s="12"/>
      <c r="F25" s="16" t="s">
        <v>4</v>
      </c>
      <c r="G25" s="16"/>
      <c r="H25" s="16" t="s">
        <v>12</v>
      </c>
      <c r="I25" s="16"/>
      <c r="J25" s="21">
        <f>VLOOKUP(H25,A8:K18,9)</f>
        <v>21.416666666666668</v>
      </c>
      <c r="K25" s="12"/>
      <c r="L25" s="12"/>
      <c r="M25" s="12"/>
      <c r="N25" s="12"/>
      <c r="O25" s="12"/>
    </row>
    <row r="26" spans="1:16" x14ac:dyDescent="0.25">
      <c r="A26" s="15" t="s">
        <v>27</v>
      </c>
      <c r="B26" s="7">
        <f>SMALL($B$15:$G$15,3)</f>
        <v>17.5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6" x14ac:dyDescent="0.25"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6" x14ac:dyDescent="0.25">
      <c r="G28" s="22" t="s">
        <v>28</v>
      </c>
      <c r="H28" t="s">
        <v>30</v>
      </c>
      <c r="I28" t="s">
        <v>31</v>
      </c>
      <c r="J28" t="s">
        <v>32</v>
      </c>
      <c r="K28" t="s">
        <v>33</v>
      </c>
      <c r="L28" t="s">
        <v>34</v>
      </c>
      <c r="M28" t="s">
        <v>35</v>
      </c>
      <c r="N28" t="s">
        <v>36</v>
      </c>
    </row>
    <row r="29" spans="1:16" x14ac:dyDescent="0.25">
      <c r="G29" s="23" t="s">
        <v>37</v>
      </c>
      <c r="H29" s="24">
        <v>209.7</v>
      </c>
      <c r="I29" s="24">
        <v>247.09999999999997</v>
      </c>
      <c r="J29" s="24">
        <v>235.9</v>
      </c>
      <c r="K29" s="24">
        <v>263.60000000000002</v>
      </c>
      <c r="L29" s="24">
        <v>235.20000000000002</v>
      </c>
      <c r="M29" s="24">
        <v>244.3</v>
      </c>
      <c r="N29" s="24">
        <v>265.39999999999998</v>
      </c>
    </row>
    <row r="30" spans="1:16" x14ac:dyDescent="0.25">
      <c r="G30" s="23" t="s">
        <v>29</v>
      </c>
      <c r="H30" s="24">
        <v>209.7</v>
      </c>
      <c r="I30" s="24">
        <v>247.09999999999997</v>
      </c>
      <c r="J30" s="24">
        <v>235.9</v>
      </c>
      <c r="K30" s="24">
        <v>263.60000000000002</v>
      </c>
      <c r="L30" s="24">
        <v>235.20000000000002</v>
      </c>
      <c r="M30" s="24">
        <v>244.3</v>
      </c>
      <c r="N30" s="24">
        <v>265.39999999999998</v>
      </c>
    </row>
  </sheetData>
  <mergeCells count="8">
    <mergeCell ref="F22:G22"/>
    <mergeCell ref="F25:G25"/>
    <mergeCell ref="H22:I22"/>
    <mergeCell ref="H25:I25"/>
    <mergeCell ref="L5:L6"/>
    <mergeCell ref="M5:M6"/>
    <mergeCell ref="N5:N6"/>
    <mergeCell ref="B4:N4"/>
  </mergeCells>
  <conditionalFormatting sqref="O22">
    <cfRule type="cellIs" dxfId="4" priority="5" operator="equal">
      <formula>"a$E$2"</formula>
    </cfRule>
  </conditionalFormatting>
  <conditionalFormatting sqref="N7:N18">
    <cfRule type="cellIs" dxfId="3" priority="3" operator="equal">
      <formula>"a cima"</formula>
    </cfRule>
    <cfRule type="cellIs" dxfId="2" priority="4" operator="equal">
      <formula>$N$7</formula>
    </cfRule>
  </conditionalFormatting>
  <conditionalFormatting sqref="N7:N18">
    <cfRule type="cellIs" dxfId="1" priority="1" operator="equal">
      <formula>"abaixo"</formula>
    </cfRule>
    <cfRule type="cellIs" dxfId="0" priority="2" operator="equal">
      <formula>"acima"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62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atividade1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Des</cp:lastModifiedBy>
  <cp:lastPrinted>2023-07-26T20:03:27Z</cp:lastPrinted>
  <dcterms:created xsi:type="dcterms:W3CDTF">2023-07-26T16:59:28Z</dcterms:created>
  <dcterms:modified xsi:type="dcterms:W3CDTF">2023-07-26T20:11:13Z</dcterms:modified>
</cp:coreProperties>
</file>